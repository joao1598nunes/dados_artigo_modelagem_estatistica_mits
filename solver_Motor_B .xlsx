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42F200D8-4CBC-44EF-B2A9-F91273B1E21B}" xr6:coauthVersionLast="47" xr6:coauthVersionMax="47" xr10:uidLastSave="{00000000-0000-0000-0000-000000000000}"/>
  <bookViews>
    <workbookView xWindow="-20610" yWindow="2370" windowWidth="20730" windowHeight="11160" xr2:uid="{F5F91713-593D-48B5-A7B5-C16C674BA78D}"/>
  </bookViews>
  <sheets>
    <sheet name="Planilha1" sheetId="1" r:id="rId1"/>
  </sheets>
  <definedNames>
    <definedName name="solver_adj" localSheetId="0" hidden="1">Planilha1!$E$4:$E$10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Planilha1!$E$10</definedName>
    <definedName name="solver_lhs10" localSheetId="0" hidden="1">Planilha1!$E$7</definedName>
    <definedName name="solver_lhs11" localSheetId="0" hidden="1">Planilha1!$E$8</definedName>
    <definedName name="solver_lhs12" localSheetId="0" hidden="1">Planilha1!$E$8</definedName>
    <definedName name="solver_lhs13" localSheetId="0" hidden="1">Planilha1!$E$9</definedName>
    <definedName name="solver_lhs14" localSheetId="0" hidden="1">Planilha1!$E$9</definedName>
    <definedName name="solver_lhs2" localSheetId="0" hidden="1">Planilha1!$E$10</definedName>
    <definedName name="solver_lhs3" localSheetId="0" hidden="1">Planilha1!$E$4</definedName>
    <definedName name="solver_lhs4" localSheetId="0" hidden="1">Planilha1!$E$4</definedName>
    <definedName name="solver_lhs5" localSheetId="0" hidden="1">Planilha1!$E$5</definedName>
    <definedName name="solver_lhs6" localSheetId="0" hidden="1">Planilha1!$E$5</definedName>
    <definedName name="solver_lhs7" localSheetId="0" hidden="1">Planilha1!$E$6</definedName>
    <definedName name="solver_lhs8" localSheetId="0" hidden="1">Planilha1!$E$6</definedName>
    <definedName name="solver_lhs9" localSheetId="0" hidden="1">Planilha1!$E$7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100</definedName>
    <definedName name="solver_rhs10" localSheetId="0" hidden="1">4</definedName>
    <definedName name="solver_rhs11" localSheetId="0" hidden="1">6000</definedName>
    <definedName name="solver_rhs12" localSheetId="0" hidden="1">3000</definedName>
    <definedName name="solver_rhs13" localSheetId="0" hidden="1">300</definedName>
    <definedName name="solver_rhs14" localSheetId="0" hidden="1">40</definedName>
    <definedName name="solver_rhs2" localSheetId="0" hidden="1">10</definedName>
    <definedName name="solver_rhs3" localSheetId="0" hidden="1">10</definedName>
    <definedName name="solver_rhs4" localSheetId="0" hidden="1">2</definedName>
    <definedName name="solver_rhs5" localSheetId="0" hidden="1">10</definedName>
    <definedName name="solver_rhs6" localSheetId="0" hidden="1">2</definedName>
    <definedName name="solver_rhs7" localSheetId="0" hidden="1">20</definedName>
    <definedName name="solver_rhs8" localSheetId="0" hidden="1">4</definedName>
    <definedName name="solver_rhs9" localSheetId="0" hidden="1">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W31" i="1"/>
  <c r="W30" i="1"/>
  <c r="W29" i="1"/>
  <c r="U31" i="1"/>
  <c r="U30" i="1"/>
  <c r="U29" i="1"/>
  <c r="W18" i="1"/>
  <c r="W15" i="1"/>
  <c r="O24" i="1" l="1"/>
  <c r="Z21" i="1"/>
  <c r="Z18" i="1"/>
  <c r="Z15" i="1"/>
  <c r="Y21" i="1"/>
  <c r="Y18" i="1"/>
  <c r="Y15" i="1"/>
  <c r="H29" i="1" s="1"/>
  <c r="X21" i="1"/>
  <c r="X18" i="1"/>
  <c r="X15" i="1"/>
  <c r="L29" i="1" s="1"/>
  <c r="W21" i="1"/>
  <c r="O21" i="1"/>
  <c r="P18" i="1" s="1"/>
  <c r="O18" i="1"/>
  <c r="P15" i="1" s="1"/>
  <c r="O15" i="1"/>
  <c r="I4" i="1"/>
  <c r="N21" i="1" s="1"/>
  <c r="H4" i="1"/>
  <c r="N18" i="1" s="1"/>
  <c r="J4" i="1" l="1"/>
  <c r="N24" i="1" s="1"/>
  <c r="F29" i="1"/>
  <c r="L31" i="1" l="1"/>
  <c r="L30" i="1"/>
  <c r="J31" i="1"/>
  <c r="J30" i="1"/>
  <c r="J29" i="1"/>
  <c r="H31" i="1"/>
  <c r="H30" i="1"/>
  <c r="F31" i="1"/>
  <c r="F30" i="1"/>
  <c r="C9" i="1"/>
  <c r="C7" i="1"/>
  <c r="L4" i="1" s="1"/>
  <c r="C6" i="1"/>
  <c r="N4" i="1" l="1"/>
  <c r="N10" i="1"/>
  <c r="N7" i="1"/>
  <c r="M4" i="1"/>
  <c r="O4" i="1" s="1"/>
  <c r="M7" i="1"/>
  <c r="M10" i="1"/>
  <c r="L7" i="1"/>
  <c r="L10" i="1"/>
  <c r="P4" i="1" l="1"/>
  <c r="R4" i="1" s="1"/>
  <c r="G16" i="1" s="1"/>
  <c r="O7" i="1"/>
  <c r="P7" i="1" s="1"/>
  <c r="R7" i="1" s="1"/>
  <c r="O10" i="1"/>
  <c r="P10" i="1" s="1"/>
  <c r="R10" i="1" s="1"/>
  <c r="U15" i="1" l="1"/>
  <c r="H16" i="1"/>
  <c r="G22" i="1"/>
  <c r="H22" i="1"/>
  <c r="H19" i="1"/>
  <c r="G19" i="1"/>
  <c r="I30" i="1"/>
  <c r="R37" i="1" s="1"/>
  <c r="H45" i="1" s="1"/>
  <c r="U18" i="1"/>
  <c r="I19" i="1" s="1"/>
  <c r="I31" i="1"/>
  <c r="U21" i="1"/>
  <c r="I22" i="1" s="1"/>
  <c r="I29" i="1"/>
  <c r="Q37" i="1" s="1"/>
  <c r="H44" i="1" s="1"/>
  <c r="I16" i="1" l="1"/>
  <c r="J16" i="1" s="1"/>
  <c r="S37" i="1"/>
  <c r="H46" i="1" s="1"/>
  <c r="T10" i="1"/>
  <c r="S10" i="1" s="1"/>
  <c r="L22" i="1" s="1"/>
  <c r="K22" i="1"/>
  <c r="J22" i="1"/>
  <c r="T4" i="1" l="1"/>
  <c r="S4" i="1" s="1"/>
  <c r="L16" i="1" s="1"/>
  <c r="R15" i="1" s="1"/>
  <c r="K16" i="1"/>
  <c r="M22" i="1"/>
  <c r="T21" i="1" s="1"/>
  <c r="T7" i="1"/>
  <c r="S7" i="1" s="1"/>
  <c r="L19" i="1" s="1"/>
  <c r="R21" i="1"/>
  <c r="T31" i="1" s="1"/>
  <c r="Y37" i="1" s="1"/>
  <c r="K19" i="1"/>
  <c r="J19" i="1"/>
  <c r="K31" i="1"/>
  <c r="E31" i="1"/>
  <c r="M37" i="1" s="1"/>
  <c r="D46" i="1" s="1"/>
  <c r="S21" i="1"/>
  <c r="V37" i="1" l="1"/>
  <c r="J46" i="1" s="1"/>
  <c r="T29" i="1"/>
  <c r="W37" i="1" s="1"/>
  <c r="L44" i="1" s="1"/>
  <c r="M16" i="1"/>
  <c r="T15" i="1" s="1"/>
  <c r="V29" i="1" s="1"/>
  <c r="Z37" i="1" s="1"/>
  <c r="R18" i="1"/>
  <c r="T30" i="1" s="1"/>
  <c r="V31" i="1"/>
  <c r="M19" i="1"/>
  <c r="G30" i="1" s="1"/>
  <c r="AD21" i="1"/>
  <c r="K30" i="1"/>
  <c r="U37" i="1" s="1"/>
  <c r="J45" i="1" s="1"/>
  <c r="S18" i="1"/>
  <c r="E29" i="1"/>
  <c r="K37" i="1" s="1"/>
  <c r="D44" i="1" s="1"/>
  <c r="S15" i="1"/>
  <c r="E30" i="1"/>
  <c r="L37" i="1" s="1"/>
  <c r="D45" i="1" s="1"/>
  <c r="G31" i="1"/>
  <c r="L46" i="1"/>
  <c r="Q27" i="1"/>
  <c r="AB21" i="1"/>
  <c r="K29" i="1"/>
  <c r="T37" i="1" s="1"/>
  <c r="J44" i="1" s="1"/>
  <c r="O27" i="1" l="1"/>
  <c r="X37" i="1"/>
  <c r="L45" i="1" s="1"/>
  <c r="AB37" i="1"/>
  <c r="N46" i="1" s="1"/>
  <c r="G29" i="1"/>
  <c r="N37" i="1" s="1"/>
  <c r="F44" i="1" s="1"/>
  <c r="AD15" i="1"/>
  <c r="T18" i="1"/>
  <c r="V30" i="1" s="1"/>
  <c r="AA37" i="1" s="1"/>
  <c r="P37" i="1"/>
  <c r="F46" i="1" s="1"/>
  <c r="O37" i="1"/>
  <c r="F45" i="1" s="1"/>
  <c r="AB18" i="1"/>
  <c r="N44" i="1"/>
  <c r="AB15" i="1"/>
  <c r="P27" i="1" l="1"/>
  <c r="G7" i="1" s="1"/>
  <c r="AD18" i="1"/>
  <c r="N45" i="1"/>
</calcChain>
</file>

<file path=xl/sharedStrings.xml><?xml version="1.0" encoding="utf-8"?>
<sst xmlns="http://schemas.openxmlformats.org/spreadsheetml/2006/main" count="163" uniqueCount="139">
  <si>
    <t>Rs</t>
  </si>
  <si>
    <t>Rr</t>
  </si>
  <si>
    <t>Xs</t>
  </si>
  <si>
    <t>Xr</t>
  </si>
  <si>
    <t>Rc</t>
  </si>
  <si>
    <t>Xm</t>
  </si>
  <si>
    <t>Plfw</t>
  </si>
  <si>
    <t>s1</t>
  </si>
  <si>
    <t>s075</t>
  </si>
  <si>
    <t>Zr1</t>
  </si>
  <si>
    <t>zr075</t>
  </si>
  <si>
    <t>zr05</t>
  </si>
  <si>
    <t>zm1</t>
  </si>
  <si>
    <t>zm075</t>
  </si>
  <si>
    <t>zm05</t>
  </si>
  <si>
    <t>Zs1</t>
  </si>
  <si>
    <t>zs075</t>
  </si>
  <si>
    <t>zs05</t>
  </si>
  <si>
    <t>zparcial1</t>
  </si>
  <si>
    <t>zparcial075</t>
  </si>
  <si>
    <t>zparcial05</t>
  </si>
  <si>
    <t>ztot1</t>
  </si>
  <si>
    <t>ztot075</t>
  </si>
  <si>
    <t>ztot05</t>
  </si>
  <si>
    <t>Escorregamentos</t>
  </si>
  <si>
    <t>Impedâncias</t>
  </si>
  <si>
    <t>is1</t>
  </si>
  <si>
    <t>is075</t>
  </si>
  <si>
    <t>is05</t>
  </si>
  <si>
    <t>ir1</t>
  </si>
  <si>
    <t>ir075</t>
  </si>
  <si>
    <t>ir05</t>
  </si>
  <si>
    <t>im1</t>
  </si>
  <si>
    <t>im075</t>
  </si>
  <si>
    <t>im05</t>
  </si>
  <si>
    <t>Perdas</t>
  </si>
  <si>
    <t>Estator</t>
  </si>
  <si>
    <t>Ps1</t>
  </si>
  <si>
    <t>Qs1</t>
  </si>
  <si>
    <t>Magnetização</t>
  </si>
  <si>
    <t>Rotor</t>
  </si>
  <si>
    <t>Correntes</t>
  </si>
  <si>
    <t>Ps075</t>
  </si>
  <si>
    <t>Ps05</t>
  </si>
  <si>
    <t>Qs075</t>
  </si>
  <si>
    <t>Qs05</t>
  </si>
  <si>
    <t>Em1</t>
  </si>
  <si>
    <t>Em075</t>
  </si>
  <si>
    <t>Em05</t>
  </si>
  <si>
    <t>Qm1</t>
  </si>
  <si>
    <t>Qm075</t>
  </si>
  <si>
    <t>Qm05</t>
  </si>
  <si>
    <t>Pr1</t>
  </si>
  <si>
    <t>Pr075</t>
  </si>
  <si>
    <t>Pr05</t>
  </si>
  <si>
    <t>Qr1</t>
  </si>
  <si>
    <t>Qr075</t>
  </si>
  <si>
    <t>Qr05</t>
  </si>
  <si>
    <t>Wmec</t>
  </si>
  <si>
    <t>Tdelt1</t>
  </si>
  <si>
    <t>Tdelt075</t>
  </si>
  <si>
    <t>Tdelt05</t>
  </si>
  <si>
    <t>Psha1</t>
  </si>
  <si>
    <t>Psha075</t>
  </si>
  <si>
    <t>Psha05</t>
  </si>
  <si>
    <t>Pem1</t>
  </si>
  <si>
    <t>Pem075</t>
  </si>
  <si>
    <t>Pem05</t>
  </si>
  <si>
    <t>Potência de Saída</t>
  </si>
  <si>
    <t>Pel1</t>
  </si>
  <si>
    <t>Pel075</t>
  </si>
  <si>
    <t>Pel05</t>
  </si>
  <si>
    <t>Pl1</t>
  </si>
  <si>
    <t>Pl075</t>
  </si>
  <si>
    <t>Pl05</t>
  </si>
  <si>
    <t>Q1</t>
  </si>
  <si>
    <t>Q075</t>
  </si>
  <si>
    <t>Q05</t>
  </si>
  <si>
    <t>Is1</t>
  </si>
  <si>
    <t>Is075</t>
  </si>
  <si>
    <t>Is05</t>
  </si>
  <si>
    <t>Valores Calculados</t>
  </si>
  <si>
    <t>Peldelt1</t>
  </si>
  <si>
    <t>Peldelt075</t>
  </si>
  <si>
    <t>Peldelt05</t>
  </si>
  <si>
    <t>Pldelt1</t>
  </si>
  <si>
    <t>Pldelt075</t>
  </si>
  <si>
    <t>Pldelt05</t>
  </si>
  <si>
    <t>Qdelt1</t>
  </si>
  <si>
    <t>Qdelt075</t>
  </si>
  <si>
    <t>Qdelt05</t>
  </si>
  <si>
    <t>Isdelt1</t>
  </si>
  <si>
    <t>Isdelt075</t>
  </si>
  <si>
    <t>Isdelt05</t>
  </si>
  <si>
    <t>Valores de Referência</t>
  </si>
  <si>
    <t>e1</t>
  </si>
  <si>
    <t>e075</t>
  </si>
  <si>
    <t>e05</t>
  </si>
  <si>
    <t>Polinômio</t>
  </si>
  <si>
    <t>FP1</t>
  </si>
  <si>
    <t>R1</t>
  </si>
  <si>
    <t>R075</t>
  </si>
  <si>
    <t>R05</t>
  </si>
  <si>
    <t>Rendim.</t>
  </si>
  <si>
    <t>FP</t>
  </si>
  <si>
    <t>FP075</t>
  </si>
  <si>
    <t>FP05</t>
  </si>
  <si>
    <t>simu</t>
  </si>
  <si>
    <t>ref</t>
  </si>
  <si>
    <t>carga</t>
  </si>
  <si>
    <t>P Ativas</t>
  </si>
  <si>
    <t>Q Reativas</t>
  </si>
  <si>
    <t>Rendimento</t>
  </si>
  <si>
    <t>P Entrada</t>
  </si>
  <si>
    <t>0.75</t>
  </si>
  <si>
    <t>0.5</t>
  </si>
  <si>
    <t>erro</t>
  </si>
  <si>
    <t>s05</t>
  </si>
  <si>
    <t>Pm1=Pc1</t>
  </si>
  <si>
    <t>Pm075=Pc075</t>
  </si>
  <si>
    <t>Pm05=Pc05</t>
  </si>
  <si>
    <t>Valores</t>
  </si>
  <si>
    <t xml:space="preserve">Erros Obtidos </t>
  </si>
  <si>
    <t>Potência Nominal (w)</t>
  </si>
  <si>
    <t>Número de Polos</t>
  </si>
  <si>
    <t>Velocidade de Rotação (n)</t>
  </si>
  <si>
    <t>Fator de potência (100%)</t>
  </si>
  <si>
    <t>Fator de potência (75%)</t>
  </si>
  <si>
    <t>Fator de potência (50%)</t>
  </si>
  <si>
    <t>Rendimento (100%)</t>
  </si>
  <si>
    <t>Rendimento (75%)</t>
  </si>
  <si>
    <t>Rendimento (50%)</t>
  </si>
  <si>
    <t>Tensão Nominal (V)</t>
  </si>
  <si>
    <t>P Entrada (%)</t>
  </si>
  <si>
    <t>Q Reativas  (%)</t>
  </si>
  <si>
    <t>Correntes (%)</t>
  </si>
  <si>
    <t>Perdas  (%)</t>
  </si>
  <si>
    <t>Rendimento (p.p)</t>
  </si>
  <si>
    <t>FP (p.p)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</si>
</sst>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</xdr:colOff>
      <xdr:row>3</xdr:row>
      <xdr:rowOff>80210</xdr:rowOff>
    </xdr:from>
    <xdr:to>
      <xdr:col>2</xdr:col>
      <xdr:colOff>521368</xdr:colOff>
      <xdr:row>9</xdr:row>
      <xdr:rowOff>180474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DD2C5A-99AC-8697-EE83-35DAA046390A}"/>
            </a:ext>
          </a:extLst>
        </xdr:cNvPr>
        <xdr:cNvSpPr txBox="1"/>
      </xdr:nvSpPr>
      <xdr:spPr>
        <a:xfrm>
          <a:off x="30079" y="681789"/>
          <a:ext cx="1714500" cy="130342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Parâmetros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do CE Obtidos</a:t>
          </a:r>
        </a:p>
        <a:p>
          <a:pPr algn="ctr"/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para cada uma das simulações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441158</xdr:colOff>
      <xdr:row>8</xdr:row>
      <xdr:rowOff>120315</xdr:rowOff>
    </xdr:from>
    <xdr:to>
      <xdr:col>2</xdr:col>
      <xdr:colOff>300789</xdr:colOff>
      <xdr:row>8</xdr:row>
      <xdr:rowOff>120315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8A0530-F672-01B5-40A5-14CE9C1E5138}"/>
            </a:ext>
          </a:extLst>
        </xdr:cNvPr>
        <xdr:cNvCxnSpPr/>
      </xdr:nvCxnSpPr>
      <xdr:spPr>
        <a:xfrm>
          <a:off x="441158" y="1724526"/>
          <a:ext cx="10828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20053</xdr:colOff>
      <xdr:row>23</xdr:row>
      <xdr:rowOff>60158</xdr:rowOff>
    </xdr:from>
    <xdr:to>
      <xdr:col>4</xdr:col>
      <xdr:colOff>591553</xdr:colOff>
      <xdr:row>34</xdr:row>
      <xdr:rowOff>110289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A37A4AD-E669-9000-3FFB-C257153DA149}"/>
            </a:ext>
          </a:extLst>
        </xdr:cNvPr>
        <xdr:cNvSpPr txBox="1"/>
      </xdr:nvSpPr>
      <xdr:spPr>
        <a:xfrm>
          <a:off x="20053" y="4662237"/>
          <a:ext cx="3017921" cy="22358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/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Dados do Motor B</a:t>
          </a: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(Apenas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os Valores do Motor são editáveis, os demais são obtidos mediante o método)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250658</xdr:colOff>
      <xdr:row>24</xdr:row>
      <xdr:rowOff>20054</xdr:rowOff>
    </xdr:from>
    <xdr:to>
      <xdr:col>4</xdr:col>
      <xdr:colOff>260685</xdr:colOff>
      <xdr:row>29</xdr:row>
      <xdr:rowOff>60157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6A247F7E-EBE2-4824-89CD-E5CD5F593736}"/>
            </a:ext>
          </a:extLst>
        </xdr:cNvPr>
        <xdr:cNvCxnSpPr/>
      </xdr:nvCxnSpPr>
      <xdr:spPr>
        <a:xfrm flipV="1">
          <a:off x="2697079" y="4822659"/>
          <a:ext cx="10027" cy="10327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391026</xdr:colOff>
      <xdr:row>40</xdr:row>
      <xdr:rowOff>20052</xdr:rowOff>
    </xdr:from>
    <xdr:to>
      <xdr:col>21</xdr:col>
      <xdr:colOff>310815</xdr:colOff>
      <xdr:row>47</xdr:row>
      <xdr:rowOff>150395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E9CF4F6-B278-9707-5BE2-D8B125860698}"/>
            </a:ext>
          </a:extLst>
        </xdr:cNvPr>
        <xdr:cNvSpPr txBox="1"/>
      </xdr:nvSpPr>
      <xdr:spPr>
        <a:xfrm>
          <a:off x="9344526" y="7980947"/>
          <a:ext cx="4582026" cy="1513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Erros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Obtidos para cada Simulação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683795</xdr:colOff>
      <xdr:row>40</xdr:row>
      <xdr:rowOff>172453</xdr:rowOff>
    </xdr:from>
    <xdr:to>
      <xdr:col>17</xdr:col>
      <xdr:colOff>691816</xdr:colOff>
      <xdr:row>44</xdr:row>
      <xdr:rowOff>140368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FFD9A5B1-2CF2-463A-A49A-0D3EC1FDDD94}"/>
            </a:ext>
          </a:extLst>
        </xdr:cNvPr>
        <xdr:cNvCxnSpPr/>
      </xdr:nvCxnSpPr>
      <xdr:spPr>
        <a:xfrm flipH="1" flipV="1">
          <a:off x="11522242" y="8133348"/>
          <a:ext cx="8021" cy="7599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2E6-6CF8-4B2F-ACAC-4F8FB2E32764}">
  <dimension ref="A1:AD55"/>
  <sheetViews>
    <sheetView showGridLines="0" tabSelected="1" topLeftCell="A16" zoomScale="95" zoomScaleNormal="95" workbookViewId="0">
      <selection activeCell="AB37" sqref="AB37"/>
    </sheetView>
  </sheetViews>
  <sheetFormatPr defaultRowHeight="15" x14ac:dyDescent="0.25"/>
  <cols>
    <col min="8" max="8" width="9.85546875" bestFit="1" customWidth="1"/>
    <col min="9" max="9" width="10.85546875" bestFit="1" customWidth="1"/>
    <col min="10" max="10" width="11" bestFit="1" customWidth="1"/>
    <col min="12" max="12" width="10.85546875" bestFit="1" customWidth="1"/>
    <col min="15" max="15" width="9.85546875" bestFit="1" customWidth="1"/>
    <col min="18" max="20" width="10.85546875" bestFit="1" customWidth="1"/>
  </cols>
  <sheetData>
    <row r="1" spans="1:30" ht="15.75" x14ac:dyDescent="0.25">
      <c r="A1" s="1"/>
    </row>
    <row r="2" spans="1:30" ht="15.75" x14ac:dyDescent="0.25">
      <c r="G2" s="6"/>
      <c r="H2" s="16" t="s">
        <v>24</v>
      </c>
      <c r="I2" s="16"/>
      <c r="J2" s="16"/>
      <c r="K2" s="16"/>
      <c r="L2" s="16" t="s">
        <v>25</v>
      </c>
      <c r="M2" s="16"/>
      <c r="N2" s="16"/>
      <c r="O2" s="16"/>
      <c r="P2" s="16"/>
      <c r="Q2" s="7"/>
      <c r="R2" s="16" t="s">
        <v>41</v>
      </c>
      <c r="S2" s="16"/>
      <c r="T2" s="16"/>
    </row>
    <row r="3" spans="1:30" ht="15.75" x14ac:dyDescent="0.25">
      <c r="D3" s="10"/>
      <c r="E3" s="11" t="s">
        <v>121</v>
      </c>
      <c r="G3" s="6"/>
      <c r="H3" s="4" t="s">
        <v>7</v>
      </c>
      <c r="I3" s="4" t="s">
        <v>8</v>
      </c>
      <c r="J3" s="4" t="s">
        <v>117</v>
      </c>
      <c r="K3" s="4"/>
      <c r="L3" s="4" t="s">
        <v>9</v>
      </c>
      <c r="M3" s="4" t="s">
        <v>12</v>
      </c>
      <c r="N3" s="4" t="s">
        <v>15</v>
      </c>
      <c r="O3" s="4" t="s">
        <v>18</v>
      </c>
      <c r="P3" s="4" t="s">
        <v>21</v>
      </c>
      <c r="Q3" s="6"/>
      <c r="R3" s="4" t="s">
        <v>26</v>
      </c>
      <c r="S3" s="4" t="s">
        <v>29</v>
      </c>
      <c r="T3" s="4" t="s">
        <v>32</v>
      </c>
      <c r="V3" s="1"/>
      <c r="W3" s="1"/>
      <c r="X3" s="1"/>
    </row>
    <row r="4" spans="1:30" ht="15.75" x14ac:dyDescent="0.25">
      <c r="D4" s="12" t="s">
        <v>0</v>
      </c>
      <c r="E4" s="12">
        <v>3.7961841363285806</v>
      </c>
      <c r="G4" s="6"/>
      <c r="H4" s="4">
        <f>1- (E13*E14/(120*50))</f>
        <v>3.0000000000000027E-2</v>
      </c>
      <c r="I4" s="4">
        <f>H4*0.75</f>
        <v>2.250000000000002E-2</v>
      </c>
      <c r="J4" s="4">
        <f>H4*0.5</f>
        <v>1.5000000000000013E-2</v>
      </c>
      <c r="K4" s="4"/>
      <c r="L4" s="4" t="str">
        <f>IMSUM((E5/H4),C7)</f>
        <v>95,0179077027055+4,51271437965583i</v>
      </c>
      <c r="M4" s="4" t="str">
        <f>IMDIV((IMPRODUCT(E8,C9)),IMSUM(E8,C9))</f>
        <v>6,77515705684535+175,262727019337i</v>
      </c>
      <c r="N4" s="4" t="str">
        <f>IMSUM(E4,C6)</f>
        <v>3,79618413632858+9,44544450159535i</v>
      </c>
      <c r="O4" s="4" t="str">
        <f>IMDIV((IMPRODUCT(M4,L4)),IMSUM(M4,L4))</f>
        <v>69,9218175142495+40,4098881490127i</v>
      </c>
      <c r="P4" s="4" t="str">
        <f>IMSUM(N4,O4)</f>
        <v>73,7180016505781+49,855332650608i</v>
      </c>
      <c r="Q4" s="6"/>
      <c r="R4" s="8">
        <f>E21/(IMABS(P4))</f>
        <v>4.4946947040082348</v>
      </c>
      <c r="S4" s="8">
        <f>SQRT((R4^2)-(T4^2))</f>
        <v>3.9896420050816062</v>
      </c>
      <c r="T4" s="8">
        <f>I16/IMABS(M4)</f>
        <v>2.0700331286064229</v>
      </c>
      <c r="Z4" s="3"/>
    </row>
    <row r="5" spans="1:30" ht="15.75" x14ac:dyDescent="0.25">
      <c r="D5" s="12" t="s">
        <v>1</v>
      </c>
      <c r="E5" s="12">
        <v>2.850537231081169</v>
      </c>
      <c r="G5" s="6"/>
      <c r="H5" s="4"/>
      <c r="I5" s="4"/>
      <c r="J5" s="4"/>
      <c r="K5" s="4"/>
      <c r="L5" s="4"/>
      <c r="M5" s="4"/>
      <c r="N5" s="4"/>
      <c r="O5" s="4"/>
      <c r="P5" s="4"/>
      <c r="Q5" s="6"/>
      <c r="R5" s="8"/>
      <c r="S5" s="8"/>
      <c r="T5" s="8"/>
      <c r="W5" s="1"/>
    </row>
    <row r="6" spans="1:30" ht="15.75" x14ac:dyDescent="0.25">
      <c r="C6" s="4" t="str">
        <f>COMPLEX(0,E6)</f>
        <v>9,44544450159535i</v>
      </c>
      <c r="D6" s="12" t="s">
        <v>2</v>
      </c>
      <c r="E6" s="12">
        <v>9.4454445015953485</v>
      </c>
      <c r="G6" s="16" t="s">
        <v>98</v>
      </c>
      <c r="H6" s="16"/>
      <c r="I6" s="4"/>
      <c r="J6" s="4"/>
      <c r="K6" s="4"/>
      <c r="L6" s="4" t="s">
        <v>10</v>
      </c>
      <c r="M6" s="4" t="s">
        <v>13</v>
      </c>
      <c r="N6" s="4" t="s">
        <v>16</v>
      </c>
      <c r="O6" s="4" t="s">
        <v>19</v>
      </c>
      <c r="P6" s="4" t="s">
        <v>22</v>
      </c>
      <c r="Q6" s="6"/>
      <c r="R6" s="4" t="s">
        <v>27</v>
      </c>
      <c r="S6" s="4" t="s">
        <v>30</v>
      </c>
      <c r="T6" s="4" t="s">
        <v>33</v>
      </c>
      <c r="V6" s="1"/>
      <c r="W6" s="1"/>
      <c r="X6" s="1"/>
    </row>
    <row r="7" spans="1:30" ht="15.75" x14ac:dyDescent="0.25">
      <c r="C7" s="4" t="str">
        <f>COMPLEX(0,E7)</f>
        <v>4,51271437965583i</v>
      </c>
      <c r="D7" s="12" t="s">
        <v>3</v>
      </c>
      <c r="E7" s="12">
        <v>4.5127143796558329</v>
      </c>
      <c r="G7" s="18">
        <f>O27+P27+Q27</f>
        <v>3.1806142368348631E-4</v>
      </c>
      <c r="H7" s="18"/>
      <c r="I7" s="4"/>
      <c r="J7" s="4"/>
      <c r="K7" s="4"/>
      <c r="L7" s="4" t="str">
        <f>IMSUM((E5/I4),C7)</f>
        <v>126,690543603607+4,51271437965583i</v>
      </c>
      <c r="M7" s="4" t="str">
        <f>IMDIV((IMPRODUCT(E8,C9)),IMSUM(E8,C9))</f>
        <v>6,77515705684535+175,262727019337i</v>
      </c>
      <c r="N7" s="4" t="str">
        <f>IMSUM(E4,C6)</f>
        <v>3,79618413632858+9,44544450159535i</v>
      </c>
      <c r="O7" s="4" t="str">
        <f>IMDIV((IMPRODUCT(M7,L7)),IMSUM(M7,L7))</f>
        <v>79,9136331483628+58,9529429375899i</v>
      </c>
      <c r="P7" s="4" t="str">
        <f>IMSUM(N7,O7)</f>
        <v>83,7098172846914+68,3983874391853i</v>
      </c>
      <c r="Q7" s="6"/>
      <c r="R7" s="8">
        <f>E21/(IMABS(P7))</f>
        <v>3.7002675598982835</v>
      </c>
      <c r="S7" s="8">
        <f>SQRT((R7^2)-(T7^2))</f>
        <v>3.0505718700607556</v>
      </c>
      <c r="T7" s="8">
        <f>I19/IMABS(M7)</f>
        <v>2.0942758367582863</v>
      </c>
    </row>
    <row r="8" spans="1:30" ht="15.75" x14ac:dyDescent="0.25">
      <c r="C8" s="1"/>
      <c r="D8" s="12" t="s">
        <v>4</v>
      </c>
      <c r="E8" s="12">
        <v>4540.5480607003901</v>
      </c>
      <c r="G8" s="6"/>
      <c r="H8" s="6"/>
      <c r="I8" s="4"/>
      <c r="J8" s="4"/>
      <c r="K8" s="4"/>
      <c r="L8" s="4"/>
      <c r="M8" s="4"/>
      <c r="N8" s="4"/>
      <c r="O8" s="4"/>
      <c r="P8" s="4"/>
      <c r="Q8" s="6"/>
      <c r="R8" s="8"/>
      <c r="S8" s="8"/>
      <c r="T8" s="8"/>
    </row>
    <row r="9" spans="1:30" ht="15.75" x14ac:dyDescent="0.25">
      <c r="C9" s="4" t="str">
        <f>COMPLEX(0,E9)</f>
        <v>175,524635263752i</v>
      </c>
      <c r="D9" s="12" t="s">
        <v>5</v>
      </c>
      <c r="E9" s="12">
        <v>175.5246352637522</v>
      </c>
      <c r="G9" s="4"/>
      <c r="H9" s="4"/>
      <c r="I9" s="4"/>
      <c r="J9" s="4"/>
      <c r="K9" s="4"/>
      <c r="L9" s="4" t="s">
        <v>11</v>
      </c>
      <c r="M9" s="4" t="s">
        <v>14</v>
      </c>
      <c r="N9" s="4" t="s">
        <v>17</v>
      </c>
      <c r="O9" s="4" t="s">
        <v>20</v>
      </c>
      <c r="P9" s="4" t="s">
        <v>23</v>
      </c>
      <c r="Q9" s="6"/>
      <c r="R9" s="4" t="s">
        <v>28</v>
      </c>
      <c r="S9" s="4" t="s">
        <v>31</v>
      </c>
      <c r="T9" s="4" t="s">
        <v>34</v>
      </c>
      <c r="V9" s="1"/>
      <c r="W9" s="1"/>
      <c r="X9" s="1"/>
    </row>
    <row r="10" spans="1:30" ht="15.75" x14ac:dyDescent="0.25">
      <c r="D10" s="12" t="s">
        <v>6</v>
      </c>
      <c r="E10" s="12">
        <v>70.006717904874449</v>
      </c>
      <c r="G10" s="9"/>
      <c r="H10" s="4"/>
      <c r="I10" s="4"/>
      <c r="J10" s="4"/>
      <c r="K10" s="4"/>
      <c r="L10" s="4" t="str">
        <f>IMSUM((E5/J4),C7)</f>
        <v>190,035815405411+4,51271437965583i</v>
      </c>
      <c r="M10" s="4" t="str">
        <f>IMDIV((IMPRODUCT(E8,C9)),IMSUM(E8,C9))</f>
        <v>6,77515705684535+175,262727019337i</v>
      </c>
      <c r="N10" s="4" t="str">
        <f>IMSUM(E4,C6)</f>
        <v>3,79618413632858+9,44544450159535i</v>
      </c>
      <c r="O10" s="4" t="str">
        <f>IMDIV((IMPRODUCT(M10,L10)),IMSUM(M10,L10))</f>
        <v>85,7220001885659+91,0826207614229i</v>
      </c>
      <c r="P10" s="4" t="str">
        <f>IMSUM(N10,O10)</f>
        <v>89,5181843248945+100,528065263018i</v>
      </c>
      <c r="Q10" s="6"/>
      <c r="R10" s="8">
        <f>E21/(IMABS(P10))</f>
        <v>2.9715847319798461</v>
      </c>
      <c r="S10" s="8">
        <f>SQRT((R10^2)-(T10^2))</f>
        <v>2.08443642553459</v>
      </c>
      <c r="T10" s="8">
        <f>I22/IMABS(M10)</f>
        <v>2.1178858815432706</v>
      </c>
    </row>
    <row r="12" spans="1:30" ht="15.75" x14ac:dyDescent="0.25">
      <c r="A12" s="15" t="s">
        <v>123</v>
      </c>
      <c r="B12" s="15"/>
      <c r="C12" s="15"/>
      <c r="D12" s="15"/>
      <c r="E12" s="11">
        <v>4000</v>
      </c>
      <c r="G12" s="13" t="s">
        <v>35</v>
      </c>
      <c r="H12" s="13"/>
      <c r="I12" s="13"/>
      <c r="J12" s="13"/>
      <c r="K12" s="13"/>
      <c r="L12" s="13"/>
      <c r="M12" s="13"/>
      <c r="N12" s="16" t="s">
        <v>68</v>
      </c>
      <c r="O12" s="16"/>
      <c r="P12" s="16"/>
      <c r="Q12" s="5"/>
      <c r="R12" s="16" t="s">
        <v>81</v>
      </c>
      <c r="S12" s="16"/>
      <c r="T12" s="16"/>
      <c r="U12" s="16"/>
      <c r="V12" s="6"/>
      <c r="W12" s="16" t="s">
        <v>94</v>
      </c>
      <c r="X12" s="16"/>
      <c r="Y12" s="16"/>
      <c r="Z12" s="16"/>
      <c r="AA12" s="6"/>
      <c r="AB12" s="5" t="s">
        <v>103</v>
      </c>
      <c r="AC12" s="5"/>
      <c r="AD12" s="5" t="s">
        <v>104</v>
      </c>
    </row>
    <row r="13" spans="1:30" ht="15.75" x14ac:dyDescent="0.25">
      <c r="A13" s="15" t="s">
        <v>124</v>
      </c>
      <c r="B13" s="15"/>
      <c r="C13" s="15"/>
      <c r="D13" s="15"/>
      <c r="E13" s="11">
        <v>2</v>
      </c>
      <c r="G13" s="8"/>
      <c r="H13" s="8"/>
      <c r="I13" s="8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4"/>
      <c r="X13" s="4"/>
      <c r="Y13" s="4"/>
      <c r="Z13" s="4"/>
      <c r="AA13" s="6"/>
      <c r="AB13" s="4"/>
      <c r="AC13" s="4"/>
      <c r="AD13" s="4"/>
    </row>
    <row r="14" spans="1:30" ht="15.75" x14ac:dyDescent="0.25">
      <c r="A14" s="15" t="s">
        <v>125</v>
      </c>
      <c r="B14" s="15"/>
      <c r="C14" s="15"/>
      <c r="D14" s="15"/>
      <c r="E14" s="11">
        <v>2910</v>
      </c>
      <c r="G14" s="16" t="s">
        <v>36</v>
      </c>
      <c r="H14" s="16"/>
      <c r="I14" s="16" t="s">
        <v>39</v>
      </c>
      <c r="J14" s="16"/>
      <c r="K14" s="16"/>
      <c r="L14" s="16" t="s">
        <v>40</v>
      </c>
      <c r="M14" s="16"/>
      <c r="N14" s="4" t="s">
        <v>58</v>
      </c>
      <c r="O14" s="4" t="s">
        <v>62</v>
      </c>
      <c r="P14" s="4" t="s">
        <v>66</v>
      </c>
      <c r="Q14" s="4"/>
      <c r="R14" s="4" t="s">
        <v>69</v>
      </c>
      <c r="S14" s="4" t="s">
        <v>72</v>
      </c>
      <c r="T14" s="4" t="s">
        <v>75</v>
      </c>
      <c r="U14" s="4" t="s">
        <v>78</v>
      </c>
      <c r="V14" s="6"/>
      <c r="W14" s="4" t="s">
        <v>82</v>
      </c>
      <c r="X14" s="4" t="s">
        <v>85</v>
      </c>
      <c r="Y14" s="4" t="s">
        <v>88</v>
      </c>
      <c r="Z14" s="4" t="s">
        <v>91</v>
      </c>
      <c r="AA14" s="6"/>
      <c r="AB14" s="4" t="s">
        <v>100</v>
      </c>
      <c r="AC14" s="4"/>
      <c r="AD14" s="4" t="s">
        <v>99</v>
      </c>
    </row>
    <row r="15" spans="1:30" ht="15.75" x14ac:dyDescent="0.25">
      <c r="A15" s="15" t="s">
        <v>126</v>
      </c>
      <c r="B15" s="15"/>
      <c r="C15" s="15"/>
      <c r="D15" s="15"/>
      <c r="E15" s="11">
        <v>0.83</v>
      </c>
      <c r="G15" s="4" t="s">
        <v>37</v>
      </c>
      <c r="H15" s="4" t="s">
        <v>38</v>
      </c>
      <c r="I15" s="4" t="s">
        <v>46</v>
      </c>
      <c r="J15" s="4" t="s">
        <v>118</v>
      </c>
      <c r="K15" s="4" t="s">
        <v>49</v>
      </c>
      <c r="L15" s="4" t="s">
        <v>52</v>
      </c>
      <c r="M15" s="4" t="s">
        <v>55</v>
      </c>
      <c r="N15" s="4">
        <f>(E14*2*3.1416)/60</f>
        <v>304.73520000000002</v>
      </c>
      <c r="O15" s="4">
        <f>E12*1</f>
        <v>4000</v>
      </c>
      <c r="P15" s="4">
        <f>E10+O18</f>
        <v>3070.0067179048747</v>
      </c>
      <c r="Q15" s="4"/>
      <c r="R15" s="4">
        <f>G16+L16+J16+O24</f>
        <v>4523.2949312606142</v>
      </c>
      <c r="S15" s="4">
        <f>G16+L16+J16+E10</f>
        <v>523.29493126061357</v>
      </c>
      <c r="T15" s="4">
        <f>H16+K16+M16</f>
        <v>3040.9703665833713</v>
      </c>
      <c r="U15" s="4">
        <f>R4</f>
        <v>4.4946947040082348</v>
      </c>
      <c r="V15" s="6"/>
      <c r="W15" s="4">
        <f>(E12*1)/E18</f>
        <v>4524.8868778280539</v>
      </c>
      <c r="X15" s="4">
        <f>W15-(E12*1)</f>
        <v>524.88687782805391</v>
      </c>
      <c r="Y15" s="4">
        <f>W15*TAN(ACOS(E15))</f>
        <v>3040.7424668558779</v>
      </c>
      <c r="Z15" s="4">
        <f>W15/(E21*3*E15)</f>
        <v>4.543059114285195</v>
      </c>
      <c r="AA15" s="6"/>
      <c r="AB15" s="4">
        <f>O15/R15</f>
        <v>0.88431111850697408</v>
      </c>
      <c r="AC15" s="4"/>
      <c r="AD15" s="4">
        <f>COS(ATAN(T15/R15))</f>
        <v>0.82988976237320566</v>
      </c>
    </row>
    <row r="16" spans="1:30" ht="15.75" x14ac:dyDescent="0.25">
      <c r="A16" s="15" t="s">
        <v>127</v>
      </c>
      <c r="B16" s="15"/>
      <c r="C16" s="15"/>
      <c r="D16" s="15"/>
      <c r="E16" s="11">
        <v>0.77</v>
      </c>
      <c r="G16" s="4">
        <f>3*(R4^2)*E4</f>
        <v>230.07473005301625</v>
      </c>
      <c r="H16" s="4">
        <f>3*(R4^2)*E6</f>
        <v>572.4585573019732</v>
      </c>
      <c r="I16" s="4">
        <f>SQRT(((E21-E4*U15*E15-E6*U15*SIN(ACOS(E15)))^2)+((E6*U15*E15-E4*U15*SIN(ACOS(E15)))^2))</f>
        <v>363.07062931326647</v>
      </c>
      <c r="J16" s="4">
        <f>3*(I16^2)/E8</f>
        <v>87.095399128710739</v>
      </c>
      <c r="K16" s="4">
        <f>3*(I16^2)/E9</f>
        <v>2253.0218907195253</v>
      </c>
      <c r="L16" s="4">
        <f>3*(S4^2)*E5</f>
        <v>136.11808417401213</v>
      </c>
      <c r="M16" s="4">
        <f>3*(S4^2)*E7</f>
        <v>215.48991856187283</v>
      </c>
      <c r="N16" s="4"/>
      <c r="O16" s="4"/>
      <c r="P16" s="4"/>
      <c r="Q16" s="4"/>
      <c r="R16" s="4"/>
      <c r="S16" s="4"/>
      <c r="T16" s="4"/>
      <c r="U16" s="4"/>
      <c r="V16" s="6"/>
      <c r="W16" s="4"/>
      <c r="X16" s="4"/>
      <c r="Y16" s="4"/>
      <c r="Z16" s="4"/>
      <c r="AA16" s="6"/>
      <c r="AB16" s="4"/>
      <c r="AC16" s="4"/>
      <c r="AD16" s="4"/>
    </row>
    <row r="17" spans="1:30" ht="15.75" x14ac:dyDescent="0.25">
      <c r="A17" s="15" t="s">
        <v>128</v>
      </c>
      <c r="B17" s="15"/>
      <c r="C17" s="15"/>
      <c r="D17" s="15"/>
      <c r="E17" s="11">
        <v>0.65</v>
      </c>
      <c r="G17" s="4"/>
      <c r="H17" s="4"/>
      <c r="I17" s="4"/>
      <c r="J17" s="4"/>
      <c r="K17" s="4"/>
      <c r="L17" s="4"/>
      <c r="M17" s="4"/>
      <c r="N17" s="4" t="s">
        <v>59</v>
      </c>
      <c r="O17" s="4" t="s">
        <v>63</v>
      </c>
      <c r="P17" s="4" t="s">
        <v>67</v>
      </c>
      <c r="Q17" s="4"/>
      <c r="R17" s="4" t="s">
        <v>70</v>
      </c>
      <c r="S17" s="4" t="s">
        <v>73</v>
      </c>
      <c r="T17" s="4" t="s">
        <v>76</v>
      </c>
      <c r="U17" s="4" t="s">
        <v>79</v>
      </c>
      <c r="V17" s="6"/>
      <c r="W17" s="4" t="s">
        <v>83</v>
      </c>
      <c r="X17" s="4" t="s">
        <v>86</v>
      </c>
      <c r="Y17" s="4" t="s">
        <v>89</v>
      </c>
      <c r="Z17" s="4" t="s">
        <v>92</v>
      </c>
      <c r="AA17" s="6"/>
      <c r="AB17" s="4" t="s">
        <v>101</v>
      </c>
      <c r="AC17" s="4"/>
      <c r="AD17" s="4" t="s">
        <v>105</v>
      </c>
    </row>
    <row r="18" spans="1:30" ht="15.75" x14ac:dyDescent="0.25">
      <c r="A18" s="15" t="s">
        <v>129</v>
      </c>
      <c r="B18" s="15"/>
      <c r="C18" s="15"/>
      <c r="D18" s="15"/>
      <c r="E18" s="11">
        <v>0.88400000000000001</v>
      </c>
      <c r="G18" s="4" t="s">
        <v>42</v>
      </c>
      <c r="H18" s="4" t="s">
        <v>44</v>
      </c>
      <c r="I18" s="4" t="s">
        <v>47</v>
      </c>
      <c r="J18" s="4" t="s">
        <v>119</v>
      </c>
      <c r="K18" s="4" t="s">
        <v>50</v>
      </c>
      <c r="L18" s="4" t="s">
        <v>53</v>
      </c>
      <c r="M18" s="4" t="s">
        <v>56</v>
      </c>
      <c r="N18" s="4">
        <f>(E12*E13*1)/(4*3.1416*50*(1-H4))</f>
        <v>13.126150178909429</v>
      </c>
      <c r="O18" s="4">
        <f>E12*0.75</f>
        <v>3000</v>
      </c>
      <c r="P18" s="4">
        <f>E10+O21</f>
        <v>2070.0067179048747</v>
      </c>
      <c r="Q18" s="4"/>
      <c r="R18" s="4">
        <f>G19+J19+L19+P15</f>
        <v>3394.6670912895479</v>
      </c>
      <c r="S18" s="4">
        <f>G19+J19+L19+E10</f>
        <v>394.66709128954784</v>
      </c>
      <c r="T18" s="4">
        <f>H19+K19+M19</f>
        <v>2820.0686970506313</v>
      </c>
      <c r="U18" s="4">
        <f>R7</f>
        <v>3.7002675598982835</v>
      </c>
      <c r="V18" s="6"/>
      <c r="W18" s="4">
        <f>(E12*0.75)/E19</f>
        <v>3393.6651583710409</v>
      </c>
      <c r="X18" s="4">
        <f>W18-(E12*0.75)</f>
        <v>393.66515837104089</v>
      </c>
      <c r="Y18" s="4">
        <f>W18*TAN(ACOS(E16))</f>
        <v>2812.0874080535814</v>
      </c>
      <c r="Z18" s="4">
        <f>W18/(E21*3*E16)</f>
        <v>3.6727977904448497</v>
      </c>
      <c r="AA18" s="6"/>
      <c r="AB18" s="4">
        <f>O18/R18</f>
        <v>0.88373908820036196</v>
      </c>
      <c r="AC18" s="4"/>
      <c r="AD18" s="4">
        <f>COS(ATAN(T18/R18))</f>
        <v>0.76920332271654523</v>
      </c>
    </row>
    <row r="19" spans="1:30" ht="15.75" x14ac:dyDescent="0.25">
      <c r="A19" s="15" t="s">
        <v>130</v>
      </c>
      <c r="B19" s="15"/>
      <c r="C19" s="15"/>
      <c r="D19" s="15"/>
      <c r="E19" s="11">
        <v>0.88400000000000001</v>
      </c>
      <c r="G19" s="4">
        <f>3*(R7^2)*E4</f>
        <v>155.93183198174057</v>
      </c>
      <c r="H19" s="4">
        <f>3*(R7^2)*E6</f>
        <v>387.98051204124687</v>
      </c>
      <c r="I19" s="4">
        <f>SQRT(((E21-E4*U18*E16-E6*U18*SIN(ACOS(E16)))^2)+((E6*U18*E16-E4*U18*SIN(ACOS(E16)))^2))</f>
        <v>367.32264595170568</v>
      </c>
      <c r="J19" s="4">
        <f>3*(I19^2)/E8</f>
        <v>89.147339324594313</v>
      </c>
      <c r="K19" s="4">
        <f>3*(I19^2)/E9</f>
        <v>2306.1023774733771</v>
      </c>
      <c r="L19" s="4">
        <f>3*(S7^2)*E5</f>
        <v>79.581202078338478</v>
      </c>
      <c r="M19" s="4">
        <f>3*(S7^2)*E7</f>
        <v>125.98580753600709</v>
      </c>
      <c r="N19" s="4"/>
      <c r="O19" s="4"/>
      <c r="P19" s="4"/>
      <c r="Q19" s="4"/>
      <c r="R19" s="4"/>
      <c r="S19" s="4"/>
      <c r="T19" s="4"/>
      <c r="U19" s="4"/>
      <c r="V19" s="6"/>
      <c r="W19" s="4"/>
      <c r="X19" s="4"/>
      <c r="Y19" s="4"/>
      <c r="Z19" s="4"/>
      <c r="AA19" s="6"/>
      <c r="AB19" s="4"/>
      <c r="AC19" s="4"/>
      <c r="AD19" s="4"/>
    </row>
    <row r="20" spans="1:30" ht="15.75" x14ac:dyDescent="0.25">
      <c r="A20" s="15" t="s">
        <v>131</v>
      </c>
      <c r="B20" s="15"/>
      <c r="C20" s="15"/>
      <c r="D20" s="15"/>
      <c r="E20" s="11">
        <v>0.87</v>
      </c>
      <c r="G20" s="4"/>
      <c r="H20" s="4"/>
      <c r="I20" s="4"/>
      <c r="J20" s="4"/>
      <c r="K20" s="4"/>
      <c r="L20" s="4"/>
      <c r="M20" s="4"/>
      <c r="N20" s="4" t="s">
        <v>60</v>
      </c>
      <c r="O20" s="4" t="s">
        <v>64</v>
      </c>
      <c r="P20" s="4"/>
      <c r="Q20" s="4"/>
      <c r="R20" s="4" t="s">
        <v>71</v>
      </c>
      <c r="S20" s="4" t="s">
        <v>74</v>
      </c>
      <c r="T20" s="4" t="s">
        <v>77</v>
      </c>
      <c r="U20" s="4" t="s">
        <v>80</v>
      </c>
      <c r="V20" s="6"/>
      <c r="W20" s="4" t="s">
        <v>84</v>
      </c>
      <c r="X20" s="4" t="s">
        <v>87</v>
      </c>
      <c r="Y20" s="4" t="s">
        <v>90</v>
      </c>
      <c r="Z20" s="4" t="s">
        <v>93</v>
      </c>
      <c r="AA20" s="6"/>
      <c r="AB20" s="4" t="s">
        <v>102</v>
      </c>
      <c r="AC20" s="4"/>
      <c r="AD20" s="4" t="s">
        <v>106</v>
      </c>
    </row>
    <row r="21" spans="1:30" ht="15.75" x14ac:dyDescent="0.25">
      <c r="A21" s="15" t="s">
        <v>132</v>
      </c>
      <c r="B21" s="15"/>
      <c r="C21" s="15"/>
      <c r="D21" s="15"/>
      <c r="E21" s="11">
        <v>400</v>
      </c>
      <c r="G21" s="4" t="s">
        <v>43</v>
      </c>
      <c r="H21" s="4" t="s">
        <v>45</v>
      </c>
      <c r="I21" s="4" t="s">
        <v>48</v>
      </c>
      <c r="J21" s="4" t="s">
        <v>120</v>
      </c>
      <c r="K21" s="4" t="s">
        <v>51</v>
      </c>
      <c r="L21" s="4" t="s">
        <v>54</v>
      </c>
      <c r="M21" s="4" t="s">
        <v>57</v>
      </c>
      <c r="N21" s="4">
        <f>(E12*E13*0.75)/(4*3.1416*50*(1-I4))</f>
        <v>9.7690785218993437</v>
      </c>
      <c r="O21" s="4">
        <f>E12*0.5</f>
        <v>2000</v>
      </c>
      <c r="P21" s="4"/>
      <c r="Q21" s="4"/>
      <c r="R21" s="4">
        <f>G22+L22+J22+P18</f>
        <v>2298.8956118203287</v>
      </c>
      <c r="S21" s="4">
        <f>G22+L22+J22+E10</f>
        <v>298.89561182032867</v>
      </c>
      <c r="T21" s="4">
        <f>H22+K22+M22</f>
        <v>2667.4319746762012</v>
      </c>
      <c r="U21" s="4">
        <f>R10</f>
        <v>2.9715847319798461</v>
      </c>
      <c r="V21" s="6"/>
      <c r="W21" s="4">
        <f>(E12*0.5)/E20</f>
        <v>2298.8505747126437</v>
      </c>
      <c r="X21" s="4">
        <f>W21-(E12*0.5)</f>
        <v>298.85057471264372</v>
      </c>
      <c r="Y21" s="4">
        <f>W21*TAN(ACOS(E17))</f>
        <v>2687.6541385624514</v>
      </c>
      <c r="Z21" s="4">
        <f>W21/(E21*3*E17)</f>
        <v>2.9472443265546713</v>
      </c>
      <c r="AA21" s="6"/>
      <c r="AB21" s="4">
        <f>O21/R21</f>
        <v>0.86998295604050724</v>
      </c>
      <c r="AC21" s="4"/>
      <c r="AD21" s="4">
        <f>COS(ATAN(T21/R21))</f>
        <v>0.65283947343333271</v>
      </c>
    </row>
    <row r="22" spans="1:30" ht="15.75" x14ac:dyDescent="0.25">
      <c r="D22" s="1"/>
      <c r="E22" s="1"/>
      <c r="G22" s="4">
        <f>3*(R10^2)*E4</f>
        <v>100.56451449640088</v>
      </c>
      <c r="H22" s="4">
        <f>3*(R10^2)*E6</f>
        <v>250.2187740092854</v>
      </c>
      <c r="I22" s="4">
        <f>SQRT(((E21-E4*U21*E17-E6*U21*SIN(ACOS(E17)))^2)+((E6*U21*E17-E4*U21*SIN(ACOS(E17)))^2))</f>
        <v>371.46369746423363</v>
      </c>
      <c r="J22" s="4">
        <f>3*(I22^2)/E8</f>
        <v>91.16869374961432</v>
      </c>
      <c r="K22" s="4">
        <f>3*(I22^2)/E9</f>
        <v>2358.3916581246162</v>
      </c>
      <c r="L22" s="4">
        <f>3*(S10^2)*E5</f>
        <v>37.155685669439045</v>
      </c>
      <c r="M22" s="4">
        <f>3*(S10^2)*E7</f>
        <v>58.821542542299547</v>
      </c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  <c r="AA22" s="6"/>
      <c r="AB22" s="6"/>
      <c r="AC22" s="6"/>
      <c r="AD22" s="6"/>
    </row>
    <row r="23" spans="1:30" ht="15.75" x14ac:dyDescent="0.25">
      <c r="G23" s="6"/>
      <c r="H23" s="6"/>
      <c r="I23" s="6"/>
      <c r="J23" s="6"/>
      <c r="K23" s="6"/>
      <c r="L23" s="6"/>
      <c r="M23" s="6"/>
      <c r="N23" s="4" t="s">
        <v>61</v>
      </c>
      <c r="O23" s="4" t="s">
        <v>65</v>
      </c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x14ac:dyDescent="0.25">
      <c r="G24" s="6"/>
      <c r="H24" s="6"/>
      <c r="I24" s="6"/>
      <c r="J24" s="6"/>
      <c r="K24" s="6"/>
      <c r="L24" s="6"/>
      <c r="M24" s="6"/>
      <c r="N24" s="4">
        <f>(E12*E13*0.5)/(4*3.1416*50*(1-J4))</f>
        <v>6.4631297835239314</v>
      </c>
      <c r="O24" s="4">
        <f>E10+O15</f>
        <v>4070.0067179048747</v>
      </c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30" ht="15.75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 t="s">
        <v>95</v>
      </c>
      <c r="P26" s="5" t="s">
        <v>96</v>
      </c>
      <c r="Q26" s="5" t="s">
        <v>97</v>
      </c>
      <c r="R26" s="6"/>
      <c r="S26" s="6"/>
      <c r="T26" s="16"/>
      <c r="U26" s="16"/>
      <c r="V26" s="16"/>
      <c r="W26" s="16"/>
      <c r="X26" s="6"/>
    </row>
    <row r="27" spans="1:30" ht="15.75" x14ac:dyDescent="0.25">
      <c r="D27" s="16" t="s">
        <v>110</v>
      </c>
      <c r="E27" s="16"/>
      <c r="F27" s="16"/>
      <c r="G27" s="16" t="s">
        <v>111</v>
      </c>
      <c r="H27" s="16"/>
      <c r="I27" s="16" t="s">
        <v>41</v>
      </c>
      <c r="J27" s="16"/>
      <c r="K27" s="16" t="s">
        <v>35</v>
      </c>
      <c r="L27" s="16"/>
      <c r="M27" s="6"/>
      <c r="N27" s="6"/>
      <c r="O27" s="4">
        <f>((W15-R15)/W15)^2+((X15-S15)/X15)^2+((Y15-T15)/Y15)^2+((Z15-U15)/Z15)^2</f>
        <v>1.226607185718002E-4</v>
      </c>
      <c r="P27" s="4">
        <f>((W18-R18)/W18)^2+((X18-S18)/X18)^2+((Y18-T18)/Y18)^2+((Z18-U18)/Z18)^2</f>
        <v>7.0559493079709536E-5</v>
      </c>
      <c r="Q27" s="4">
        <f>((W21-R21)/W21)^2+((X21-S21)/X21)^2+((Y21-T21)/Y21)^2+((Z21-U21)/Z21)^2</f>
        <v>1.2484121203197655E-4</v>
      </c>
      <c r="R27" s="6"/>
      <c r="S27" s="4"/>
      <c r="T27" s="16" t="s">
        <v>112</v>
      </c>
      <c r="U27" s="16"/>
      <c r="V27" s="16" t="s">
        <v>104</v>
      </c>
      <c r="W27" s="16"/>
      <c r="X27" s="6"/>
    </row>
    <row r="28" spans="1:30" ht="15.75" x14ac:dyDescent="0.25">
      <c r="D28" s="4" t="s">
        <v>109</v>
      </c>
      <c r="E28" s="4" t="s">
        <v>107</v>
      </c>
      <c r="F28" s="4" t="s">
        <v>108</v>
      </c>
      <c r="G28" s="4" t="s">
        <v>107</v>
      </c>
      <c r="H28" s="4" t="s">
        <v>108</v>
      </c>
      <c r="I28" s="4" t="s">
        <v>107</v>
      </c>
      <c r="J28" s="4" t="s">
        <v>108</v>
      </c>
      <c r="K28" s="4" t="s">
        <v>107</v>
      </c>
      <c r="L28" s="4" t="s">
        <v>108</v>
      </c>
      <c r="M28" s="6"/>
      <c r="N28" s="6"/>
      <c r="O28" s="6"/>
      <c r="P28" s="6"/>
      <c r="Q28" s="6"/>
      <c r="R28" s="6"/>
      <c r="S28" s="4"/>
      <c r="T28" s="4" t="s">
        <v>107</v>
      </c>
      <c r="U28" s="4" t="s">
        <v>108</v>
      </c>
      <c r="V28" s="4" t="s">
        <v>107</v>
      </c>
      <c r="W28" s="4" t="s">
        <v>108</v>
      </c>
      <c r="X28" s="6"/>
    </row>
    <row r="29" spans="1:30" ht="15.75" x14ac:dyDescent="0.25">
      <c r="D29" s="4">
        <v>1</v>
      </c>
      <c r="E29" s="4">
        <f>G16+L16+J16+O24</f>
        <v>4523.2949312606142</v>
      </c>
      <c r="F29" s="4">
        <f>W15</f>
        <v>4524.8868778280539</v>
      </c>
      <c r="G29" s="8">
        <f>H16+K16+M16</f>
        <v>3040.9703665833713</v>
      </c>
      <c r="H29" s="8">
        <f>Y15</f>
        <v>3040.7424668558779</v>
      </c>
      <c r="I29" s="8">
        <f>R4</f>
        <v>4.4946947040082348</v>
      </c>
      <c r="J29" s="8">
        <f>Z15</f>
        <v>4.543059114285195</v>
      </c>
      <c r="K29" s="8">
        <f>G16+L16+J16+E10</f>
        <v>523.29493126061357</v>
      </c>
      <c r="L29" s="8">
        <f>X15</f>
        <v>524.88687782805391</v>
      </c>
      <c r="M29" s="6"/>
      <c r="N29" s="6"/>
      <c r="O29" s="6"/>
      <c r="P29" s="6"/>
      <c r="Q29" s="6"/>
      <c r="R29" s="6"/>
      <c r="S29" s="4"/>
      <c r="T29" s="8">
        <f>O15/R15</f>
        <v>0.88431111850697408</v>
      </c>
      <c r="U29" s="8">
        <f>E18</f>
        <v>0.88400000000000001</v>
      </c>
      <c r="V29" s="8">
        <f>COS(ATAN(T15/R15))</f>
        <v>0.82988976237320566</v>
      </c>
      <c r="W29" s="8">
        <f>E15</f>
        <v>0.83</v>
      </c>
      <c r="X29" s="6"/>
    </row>
    <row r="30" spans="1:30" ht="15.75" x14ac:dyDescent="0.25">
      <c r="D30" s="4">
        <v>0.75</v>
      </c>
      <c r="E30" s="4">
        <f>G19+J19+L19+P15</f>
        <v>3394.6670912895479</v>
      </c>
      <c r="F30" s="4">
        <f>W18</f>
        <v>3393.6651583710409</v>
      </c>
      <c r="G30" s="8">
        <f>H19+K19+M19</f>
        <v>2820.0686970506313</v>
      </c>
      <c r="H30" s="8">
        <f>Y18</f>
        <v>2812.0874080535814</v>
      </c>
      <c r="I30" s="8">
        <f>R7</f>
        <v>3.7002675598982835</v>
      </c>
      <c r="J30" s="8">
        <f>Z18</f>
        <v>3.6727977904448497</v>
      </c>
      <c r="K30" s="8">
        <f>G19+J19+L19+E10</f>
        <v>394.66709128954784</v>
      </c>
      <c r="L30" s="8">
        <f>X18</f>
        <v>393.66515837104089</v>
      </c>
      <c r="M30" s="6"/>
      <c r="N30" s="4"/>
      <c r="O30" s="4"/>
      <c r="P30" s="4"/>
      <c r="Q30" s="4"/>
      <c r="R30" s="4"/>
      <c r="S30" s="4"/>
      <c r="T30" s="8">
        <f>O18/R18</f>
        <v>0.88373908820036196</v>
      </c>
      <c r="U30" s="8">
        <f>E19</f>
        <v>0.88400000000000001</v>
      </c>
      <c r="V30" s="8">
        <f>COS(ATAN(T18/R18))</f>
        <v>0.76920332271654523</v>
      </c>
      <c r="W30" s="8">
        <f>E16</f>
        <v>0.77</v>
      </c>
      <c r="X30" s="6"/>
    </row>
    <row r="31" spans="1:30" ht="15.75" x14ac:dyDescent="0.25">
      <c r="D31" s="4">
        <v>0.5</v>
      </c>
      <c r="E31" s="4">
        <f>G22+L22+J22+P18</f>
        <v>2298.8956118203287</v>
      </c>
      <c r="F31" s="4">
        <f>W21</f>
        <v>2298.8505747126437</v>
      </c>
      <c r="G31" s="8">
        <f>H22+K22+M22</f>
        <v>2667.4319746762012</v>
      </c>
      <c r="H31" s="8">
        <f>Y21</f>
        <v>2687.6541385624514</v>
      </c>
      <c r="I31" s="8">
        <f>R10</f>
        <v>2.9715847319798461</v>
      </c>
      <c r="J31" s="8">
        <f>Z21</f>
        <v>2.9472443265546713</v>
      </c>
      <c r="K31" s="8">
        <f>G22+L22+J22+E10</f>
        <v>298.89561182032867</v>
      </c>
      <c r="L31" s="8">
        <f>X21</f>
        <v>298.85057471264372</v>
      </c>
      <c r="M31" s="6"/>
      <c r="N31" s="4"/>
      <c r="O31" s="4"/>
      <c r="P31" s="4"/>
      <c r="Q31" s="4"/>
      <c r="R31" s="4"/>
      <c r="S31" s="4"/>
      <c r="T31" s="8">
        <f>O21/R21</f>
        <v>0.86998295604050724</v>
      </c>
      <c r="U31" s="8">
        <f>E20</f>
        <v>0.87</v>
      </c>
      <c r="V31" s="8">
        <f>COS(ATAN(T21/R21))</f>
        <v>0.65283947343333271</v>
      </c>
      <c r="W31" s="8">
        <f>E17</f>
        <v>0.65</v>
      </c>
      <c r="X31" s="6"/>
    </row>
    <row r="32" spans="1:30" ht="15.75" x14ac:dyDescent="0.25">
      <c r="S32" s="1"/>
    </row>
    <row r="34" spans="3:28" ht="15.75" x14ac:dyDescent="0.25">
      <c r="K34" s="17" t="s">
        <v>122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ht="15.75" x14ac:dyDescent="0.25">
      <c r="K35" s="17" t="s">
        <v>133</v>
      </c>
      <c r="L35" s="17"/>
      <c r="M35" s="17"/>
      <c r="N35" s="17" t="s">
        <v>134</v>
      </c>
      <c r="O35" s="17"/>
      <c r="P35" s="17"/>
      <c r="Q35" s="17" t="s">
        <v>135</v>
      </c>
      <c r="R35" s="17"/>
      <c r="S35" s="17"/>
      <c r="T35" s="17" t="s">
        <v>136</v>
      </c>
      <c r="U35" s="17"/>
      <c r="V35" s="17"/>
      <c r="W35" s="17" t="s">
        <v>137</v>
      </c>
      <c r="X35" s="17"/>
      <c r="Y35" s="17"/>
      <c r="Z35" s="17" t="s">
        <v>138</v>
      </c>
      <c r="AA35" s="17"/>
      <c r="AB35" s="17"/>
    </row>
    <row r="36" spans="3:28" ht="15.75" x14ac:dyDescent="0.25">
      <c r="K36" s="14">
        <v>1</v>
      </c>
      <c r="L36" s="14">
        <v>0.75</v>
      </c>
      <c r="M36" s="14">
        <v>0.5</v>
      </c>
      <c r="N36" s="14">
        <v>1</v>
      </c>
      <c r="O36" s="14">
        <v>0.75</v>
      </c>
      <c r="P36" s="14">
        <v>0.5</v>
      </c>
      <c r="Q36" s="14">
        <v>1</v>
      </c>
      <c r="R36" s="14">
        <v>0.75</v>
      </c>
      <c r="S36" s="14">
        <v>0.5</v>
      </c>
      <c r="T36" s="14">
        <v>1</v>
      </c>
      <c r="U36" s="14">
        <v>0.75</v>
      </c>
      <c r="V36" s="14">
        <v>0.5</v>
      </c>
      <c r="W36" s="14">
        <v>1</v>
      </c>
      <c r="X36" s="14">
        <v>0.75</v>
      </c>
      <c r="Y36" s="14">
        <v>0.5</v>
      </c>
      <c r="Z36" s="14">
        <v>1</v>
      </c>
      <c r="AA36" s="14">
        <v>0.75</v>
      </c>
      <c r="AB36" s="14">
        <v>0.5</v>
      </c>
    </row>
    <row r="37" spans="3:28" ht="15.75" x14ac:dyDescent="0.25">
      <c r="K37" s="14">
        <f>100*ABS((F29-E29)/F29)</f>
        <v>3.5182019140416562E-2</v>
      </c>
      <c r="L37" s="14">
        <f>100*ABS((F30-E30)/F30)</f>
        <v>2.9523623332006536E-2</v>
      </c>
      <c r="M37" s="14">
        <f>100*ABS((F31-E31)/F31)</f>
        <v>1.9591141842952311E-3</v>
      </c>
      <c r="N37" s="14">
        <f>100*ABS((H29-G29)/H29)</f>
        <v>7.4948710710470183E-3</v>
      </c>
      <c r="O37" s="14">
        <f>100*ABS((H30-G30)/H30)</f>
        <v>0.28382080066900295</v>
      </c>
      <c r="P37" s="14">
        <f>100*ABS((H31-G31)/H31)</f>
        <v>0.75240945611649468</v>
      </c>
      <c r="Q37" s="14">
        <f>100*ABS((J29-I29)/J29)</f>
        <v>1.0645780532523383</v>
      </c>
      <c r="R37" s="14">
        <f>100*ABS((J30-I30)/J30)</f>
        <v>0.74792490686253332</v>
      </c>
      <c r="S37" s="14">
        <f>100*ABS((J31-I31)/J31)</f>
        <v>0.82586995607618086</v>
      </c>
      <c r="T37" s="14">
        <f>100*ABS((L29-K29)/L29)</f>
        <v>0.30329326845199706</v>
      </c>
      <c r="U37" s="14">
        <f>100*ABS((L30-K30)/L30)</f>
        <v>0.25451399424142107</v>
      </c>
      <c r="V37" s="14">
        <f>100*ABS((L31-K31)/L31)</f>
        <v>1.5070109109963314E-2</v>
      </c>
      <c r="W37" s="14">
        <f>ABS((U29-T29))</f>
        <v>3.1111850697407295E-4</v>
      </c>
      <c r="X37" s="14">
        <f>ABS((U30-T30))</f>
        <v>2.6091179963805278E-4</v>
      </c>
      <c r="Y37" s="14">
        <f>ABS((U31-T31))</f>
        <v>1.7043959492757388E-5</v>
      </c>
      <c r="Z37" s="14">
        <f>ABS((W29-V29))</f>
        <v>1.1023762679429616E-4</v>
      </c>
      <c r="AA37" s="14">
        <f>ABS((W30-V30))</f>
        <v>7.9667728345478306E-4</v>
      </c>
      <c r="AB37" s="14">
        <f>ABS((W31-V31))</f>
        <v>2.8394734333326843E-3</v>
      </c>
    </row>
    <row r="42" spans="3:28" ht="15.75" x14ac:dyDescent="0.25">
      <c r="C42" s="4"/>
      <c r="D42" s="13" t="s">
        <v>113</v>
      </c>
      <c r="E42" s="13"/>
      <c r="F42" s="13" t="s">
        <v>111</v>
      </c>
      <c r="G42" s="13"/>
      <c r="H42" s="13" t="s">
        <v>41</v>
      </c>
      <c r="I42" s="13"/>
      <c r="J42" s="13" t="s">
        <v>35</v>
      </c>
      <c r="K42" s="13"/>
      <c r="L42" s="13" t="s">
        <v>112</v>
      </c>
      <c r="M42" s="13"/>
      <c r="N42" s="13" t="s">
        <v>104</v>
      </c>
      <c r="O42" s="13"/>
      <c r="P42" s="2"/>
      <c r="Q42" s="2"/>
      <c r="R42" s="2"/>
      <c r="S42" s="2"/>
      <c r="T42" s="2"/>
    </row>
    <row r="43" spans="3:28" ht="15.75" x14ac:dyDescent="0.25">
      <c r="C43" s="4" t="s">
        <v>109</v>
      </c>
      <c r="D43" s="8" t="s">
        <v>116</v>
      </c>
      <c r="E43" s="8"/>
      <c r="F43" s="8" t="s">
        <v>116</v>
      </c>
      <c r="G43" s="8"/>
      <c r="H43" s="8" t="s">
        <v>116</v>
      </c>
      <c r="I43" s="8"/>
      <c r="J43" s="8" t="s">
        <v>116</v>
      </c>
      <c r="K43" s="8"/>
      <c r="L43" s="8" t="s">
        <v>116</v>
      </c>
      <c r="M43" s="8"/>
      <c r="N43" s="8" t="s">
        <v>116</v>
      </c>
      <c r="O43" s="8"/>
    </row>
    <row r="44" spans="3:28" ht="15.75" x14ac:dyDescent="0.25">
      <c r="C44" s="4">
        <v>1</v>
      </c>
      <c r="D44" s="8">
        <f>K37</f>
        <v>3.5182019140416562E-2</v>
      </c>
      <c r="E44" s="8"/>
      <c r="F44" s="8">
        <f>N37</f>
        <v>7.4948710710470183E-3</v>
      </c>
      <c r="G44" s="8"/>
      <c r="H44" s="8">
        <f>Q37</f>
        <v>1.0645780532523383</v>
      </c>
      <c r="I44" s="8"/>
      <c r="J44" s="8">
        <f>T37</f>
        <v>0.30329326845199706</v>
      </c>
      <c r="K44" s="8"/>
      <c r="L44" s="8">
        <f>W37</f>
        <v>3.1111850697407295E-4</v>
      </c>
      <c r="M44" s="8"/>
      <c r="N44" s="8">
        <f>Z37</f>
        <v>1.1023762679429616E-4</v>
      </c>
      <c r="O44" s="8"/>
    </row>
    <row r="45" spans="3:28" ht="15.75" x14ac:dyDescent="0.25">
      <c r="C45" s="4" t="s">
        <v>114</v>
      </c>
      <c r="D45" s="8">
        <f>L37</f>
        <v>2.9523623332006536E-2</v>
      </c>
      <c r="E45" s="8"/>
      <c r="F45" s="8">
        <f>O37</f>
        <v>0.28382080066900295</v>
      </c>
      <c r="G45" s="8"/>
      <c r="H45" s="8">
        <f>R37</f>
        <v>0.74792490686253332</v>
      </c>
      <c r="I45" s="8"/>
      <c r="J45" s="8">
        <f>U37</f>
        <v>0.25451399424142107</v>
      </c>
      <c r="K45" s="8"/>
      <c r="L45" s="8">
        <f>X37</f>
        <v>2.6091179963805278E-4</v>
      </c>
      <c r="M45" s="8"/>
      <c r="N45" s="8">
        <f>AA37</f>
        <v>7.9667728345478306E-4</v>
      </c>
      <c r="O45" s="8"/>
    </row>
    <row r="46" spans="3:28" ht="15.75" x14ac:dyDescent="0.25">
      <c r="C46" s="4" t="s">
        <v>115</v>
      </c>
      <c r="D46" s="8">
        <f>M37</f>
        <v>1.9591141842952311E-3</v>
      </c>
      <c r="E46" s="8"/>
      <c r="F46" s="8">
        <f>P37</f>
        <v>0.75240945611649468</v>
      </c>
      <c r="G46" s="8"/>
      <c r="H46" s="8">
        <f>S37</f>
        <v>0.82586995607618086</v>
      </c>
      <c r="I46" s="8"/>
      <c r="J46" s="8">
        <f>V37</f>
        <v>1.5070109109963314E-2</v>
      </c>
      <c r="K46" s="8"/>
      <c r="L46" s="8">
        <f>Y37</f>
        <v>1.7043959492757388E-5</v>
      </c>
      <c r="M46" s="8"/>
      <c r="N46" s="8">
        <f>AB37</f>
        <v>2.8394734333326843E-3</v>
      </c>
      <c r="O46" s="8"/>
    </row>
    <row r="49" spans="6:18" ht="15.75" x14ac:dyDescent="0.25">
      <c r="F49" s="1"/>
      <c r="G49" s="1"/>
      <c r="H49" s="2"/>
      <c r="I49" s="2"/>
      <c r="J49" s="2"/>
      <c r="K49" s="1"/>
      <c r="L49" s="1"/>
      <c r="M49" s="1"/>
      <c r="N49" s="1"/>
      <c r="O49" s="1"/>
    </row>
    <row r="50" spans="6:18" ht="15.75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8" ht="15.75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8" ht="15.75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8" ht="15.75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8" ht="15.75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6:18" ht="15.75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scenarios current="0">
    <scenario name="1" count="7" user="João Jonatan" comment="Criado por João Jonatan em 7/23/2025">
      <inputCells r="E4" val="4.55510290090196"/>
      <inputCells r="E5" val="5.17982867460614"/>
      <inputCells r="E6" val="8.0956"/>
      <inputCells r="E7" val="10.4225883406096"/>
      <inputCells r="E8" val="4316.5"/>
      <inputCells r="E9" val="200.169201617946"/>
      <inputCells r="E10" val="16.4878002731301"/>
    </scenario>
  </scenarios>
  <mergeCells count="36">
    <mergeCell ref="W12:Z12"/>
    <mergeCell ref="R2:T2"/>
    <mergeCell ref="I14:K14"/>
    <mergeCell ref="L14:M14"/>
    <mergeCell ref="N12:P12"/>
    <mergeCell ref="R12:U12"/>
    <mergeCell ref="H2:K2"/>
    <mergeCell ref="L2:P2"/>
    <mergeCell ref="G14:H14"/>
    <mergeCell ref="G6:H6"/>
    <mergeCell ref="G7:H7"/>
    <mergeCell ref="Z35:AB35"/>
    <mergeCell ref="K34:AB34"/>
    <mergeCell ref="V26:W26"/>
    <mergeCell ref="T27:U27"/>
    <mergeCell ref="V27:W27"/>
    <mergeCell ref="K35:M35"/>
    <mergeCell ref="N35:P35"/>
    <mergeCell ref="Q35:S35"/>
    <mergeCell ref="T35:V35"/>
    <mergeCell ref="W35:Y35"/>
    <mergeCell ref="D27:F27"/>
    <mergeCell ref="G27:H27"/>
    <mergeCell ref="I27:J27"/>
    <mergeCell ref="K27:L27"/>
    <mergeCell ref="T26:U26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cp:lastPrinted>2025-07-07T11:48:23Z</cp:lastPrinted>
  <dcterms:created xsi:type="dcterms:W3CDTF">2025-07-06T21:58:47Z</dcterms:created>
  <dcterms:modified xsi:type="dcterms:W3CDTF">2026-07-12T22:10:14Z</dcterms:modified>
</cp:coreProperties>
</file>