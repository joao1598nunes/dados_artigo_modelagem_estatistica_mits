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jona\Desktop\arquivos github\"/>
    </mc:Choice>
  </mc:AlternateContent>
  <xr:revisionPtr revIDLastSave="0" documentId="13_ncr:1_{94931761-C659-419A-9CCC-A62EF809C4A3}" xr6:coauthVersionLast="47" xr6:coauthVersionMax="47" xr10:uidLastSave="{00000000-0000-0000-0000-000000000000}"/>
  <bookViews>
    <workbookView xWindow="-20610" yWindow="2370" windowWidth="20730" windowHeight="11160" xr2:uid="{F9989169-A565-4D05-8CA6-494653461A7A}"/>
  </bookViews>
  <sheets>
    <sheet name="Analise_Medias" sheetId="1" r:id="rId1"/>
    <sheet name="Analise_Variancia" sheetId="3" r:id="rId2"/>
  </sheets>
  <definedNames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Analise_Medias!$F$58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W63" i="3" l="1"/>
  <c r="CV63" i="3"/>
  <c r="CU63" i="3"/>
  <c r="CT63" i="3"/>
  <c r="CW62" i="3"/>
  <c r="CV62" i="3"/>
  <c r="CU62" i="3"/>
  <c r="CT62" i="3"/>
  <c r="CW61" i="3"/>
  <c r="CV61" i="3"/>
  <c r="CU61" i="3"/>
  <c r="CT61" i="3"/>
  <c r="BZ63" i="3"/>
  <c r="BY63" i="3"/>
  <c r="BX63" i="3"/>
  <c r="BW63" i="3"/>
  <c r="BZ62" i="3"/>
  <c r="BY62" i="3"/>
  <c r="BX62" i="3"/>
  <c r="BW62" i="3"/>
  <c r="BZ61" i="3"/>
  <c r="BY61" i="3"/>
  <c r="BX61" i="3"/>
  <c r="BW61" i="3"/>
  <c r="BD63" i="3"/>
  <c r="BC63" i="3"/>
  <c r="BB63" i="3"/>
  <c r="BA63" i="3"/>
  <c r="BD62" i="3"/>
  <c r="BC62" i="3"/>
  <c r="BB62" i="3"/>
  <c r="BA62" i="3"/>
  <c r="BD61" i="3"/>
  <c r="BC61" i="3"/>
  <c r="BB61" i="3"/>
  <c r="BA61" i="3"/>
  <c r="AG63" i="3"/>
  <c r="AF63" i="3"/>
  <c r="AE63" i="3"/>
  <c r="AD63" i="3"/>
  <c r="AG62" i="3"/>
  <c r="AF62" i="3"/>
  <c r="AE62" i="3"/>
  <c r="AD62" i="3"/>
  <c r="AG61" i="3"/>
  <c r="AF61" i="3"/>
  <c r="AE61" i="3"/>
  <c r="AD61" i="3"/>
  <c r="J63" i="3"/>
  <c r="J62" i="3"/>
  <c r="J61" i="3"/>
  <c r="I63" i="3"/>
  <c r="I62" i="3"/>
  <c r="I61" i="3"/>
  <c r="H63" i="3"/>
  <c r="H62" i="3"/>
  <c r="H61" i="3"/>
  <c r="G63" i="3"/>
  <c r="G62" i="3"/>
  <c r="G61" i="3"/>
  <c r="CY63" i="1"/>
  <c r="CX63" i="1"/>
  <c r="CY62" i="1"/>
  <c r="CX62" i="1"/>
  <c r="CY61" i="1"/>
  <c r="CX61" i="1"/>
  <c r="CB63" i="1"/>
  <c r="CA63" i="1"/>
  <c r="CB62" i="1"/>
  <c r="CA62" i="1"/>
  <c r="CB61" i="1"/>
  <c r="CA61" i="1"/>
  <c r="BF63" i="1"/>
  <c r="BE63" i="1"/>
  <c r="BF62" i="1"/>
  <c r="BE62" i="1"/>
  <c r="BF61" i="1"/>
  <c r="BE61" i="1"/>
  <c r="AI63" i="1"/>
  <c r="AH63" i="1"/>
  <c r="AI62" i="1"/>
  <c r="AH62" i="1"/>
  <c r="AI61" i="1"/>
  <c r="AH61" i="1"/>
  <c r="L63" i="1"/>
  <c r="L62" i="1"/>
  <c r="L61" i="1"/>
  <c r="K63" i="1"/>
  <c r="K62" i="1"/>
  <c r="K61" i="1"/>
  <c r="AK72" i="1"/>
  <c r="AK73" i="1" s="1"/>
  <c r="AI66" i="1"/>
  <c r="AI72" i="1" s="1"/>
  <c r="AI73" i="1" s="1"/>
  <c r="AI69" i="1"/>
  <c r="AI70" i="1" s="1"/>
  <c r="AJ69" i="1"/>
  <c r="AJ70" i="1" s="1"/>
  <c r="AK69" i="1"/>
  <c r="AK70" i="1" s="1"/>
  <c r="AL69" i="1"/>
  <c r="AL70" i="1" s="1"/>
  <c r="AH69" i="1"/>
  <c r="AH70" i="1" s="1"/>
  <c r="CW63" i="1"/>
  <c r="CV63" i="1"/>
  <c r="CU63" i="1"/>
  <c r="CT63" i="1"/>
  <c r="CW62" i="1"/>
  <c r="CV62" i="1"/>
  <c r="CU62" i="1"/>
  <c r="CT62" i="1"/>
  <c r="CW61" i="1"/>
  <c r="CV61" i="1"/>
  <c r="CU61" i="1"/>
  <c r="CT61" i="1"/>
  <c r="BZ63" i="1"/>
  <c r="BY63" i="1"/>
  <c r="BX63" i="1"/>
  <c r="BW63" i="1"/>
  <c r="BZ62" i="1"/>
  <c r="BY62" i="1"/>
  <c r="BX62" i="1"/>
  <c r="BW62" i="1"/>
  <c r="BZ61" i="1"/>
  <c r="BY61" i="1"/>
  <c r="BX61" i="1"/>
  <c r="BW61" i="1"/>
  <c r="BA61" i="1"/>
  <c r="BD63" i="1"/>
  <c r="BC63" i="1"/>
  <c r="BB63" i="1"/>
  <c r="BA63" i="1"/>
  <c r="BD62" i="1"/>
  <c r="BC62" i="1"/>
  <c r="BB62" i="1"/>
  <c r="BA62" i="1"/>
  <c r="BD61" i="1"/>
  <c r="BC61" i="1"/>
  <c r="BB61" i="1"/>
  <c r="AD61" i="1"/>
  <c r="AG63" i="1"/>
  <c r="AF63" i="1"/>
  <c r="AE63" i="1"/>
  <c r="AD63" i="1"/>
  <c r="AG62" i="1"/>
  <c r="AF62" i="1"/>
  <c r="AE62" i="1"/>
  <c r="AD62" i="1"/>
  <c r="AG61" i="1"/>
  <c r="AF61" i="1"/>
  <c r="AE61" i="1"/>
  <c r="J63" i="1"/>
  <c r="J62" i="1"/>
  <c r="J61" i="1"/>
  <c r="I63" i="1"/>
  <c r="I62" i="1"/>
  <c r="I61" i="1"/>
  <c r="H63" i="1"/>
  <c r="H62" i="1"/>
  <c r="H61" i="1"/>
  <c r="G63" i="1"/>
  <c r="G62" i="1"/>
  <c r="G61" i="1"/>
  <c r="AH72" i="1" l="1"/>
  <c r="AH73" i="1" s="1"/>
  <c r="AL72" i="1"/>
  <c r="AL73" i="1" s="1"/>
  <c r="AJ72" i="1"/>
  <c r="AJ73" i="1" s="1"/>
</calcChain>
</file>

<file path=xl/sharedStrings.xml><?xml version="1.0" encoding="utf-8"?>
<sst xmlns="http://schemas.openxmlformats.org/spreadsheetml/2006/main" count="162" uniqueCount="41">
  <si>
    <t>Rendimento e FP em p.p</t>
  </si>
  <si>
    <t>P Entrada</t>
  </si>
  <si>
    <t>Q Reativas</t>
  </si>
  <si>
    <t>Correntes</t>
  </si>
  <si>
    <t>Perdas</t>
  </si>
  <si>
    <t>Rendimento</t>
  </si>
  <si>
    <t>FP</t>
  </si>
  <si>
    <t>Erros</t>
  </si>
  <si>
    <t>Motor 1</t>
  </si>
  <si>
    <t>Motor 2</t>
  </si>
  <si>
    <t>Motor 3</t>
  </si>
  <si>
    <t>Motor 4</t>
  </si>
  <si>
    <t>Motor 5</t>
  </si>
  <si>
    <t>Pel</t>
  </si>
  <si>
    <t>M1</t>
  </si>
  <si>
    <t>M2</t>
  </si>
  <si>
    <t>M3</t>
  </si>
  <si>
    <t>M4</t>
  </si>
  <si>
    <t>M5</t>
  </si>
  <si>
    <t>Rend 100%</t>
  </si>
  <si>
    <t>Tol</t>
  </si>
  <si>
    <t>Limites</t>
  </si>
  <si>
    <t>FP 100%</t>
  </si>
  <si>
    <t>Rend</t>
  </si>
  <si>
    <t>Potência Elétrica</t>
  </si>
  <si>
    <t>Corrente</t>
  </si>
  <si>
    <t>Potência Reativa</t>
  </si>
  <si>
    <t>Rendimento - Lim 0.018 p.p.</t>
  </si>
  <si>
    <t>Fator de Potência - Lim 0.033 p.p.</t>
  </si>
  <si>
    <t>Rendimento- Lim 0.017 p.p.</t>
  </si>
  <si>
    <t>Fator de Potência - Lim 0.028 p.p.</t>
  </si>
  <si>
    <t>Rendimento - Lim 0.014 p.p.</t>
  </si>
  <si>
    <t>Fator de Potência - Lim 0.027 p.p.</t>
  </si>
  <si>
    <t>Rendimento - Lim 0.012 p.p.</t>
  </si>
  <si>
    <t>F ator de Potência- Lim 0.030 p.p.</t>
  </si>
  <si>
    <t>Rendimento  - Lim 0.012 p.p.</t>
  </si>
  <si>
    <t>Motor E</t>
  </si>
  <si>
    <t>Motor D</t>
  </si>
  <si>
    <t>Motor C</t>
  </si>
  <si>
    <t>Motor B</t>
  </si>
  <si>
    <t>Motor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</si>
</sst>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0"/>
    <numFmt numFmtId="166" formatCode="0.000"/>
    <numFmt numFmtId="167" formatCode="0.000000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164" fontId="1" fillId="8" borderId="2" xfId="0" applyNumberFormat="1" applyFont="1" applyFill="1" applyBorder="1" applyAlignment="1">
      <alignment horizontal="center"/>
    </xf>
    <xf numFmtId="164" fontId="1" fillId="4" borderId="2" xfId="0" applyNumberFormat="1" applyFont="1" applyFill="1" applyBorder="1" applyAlignment="1">
      <alignment horizontal="center"/>
    </xf>
    <xf numFmtId="164" fontId="1" fillId="5" borderId="2" xfId="0" applyNumberFormat="1" applyFont="1" applyFill="1" applyBorder="1" applyAlignment="1">
      <alignment horizontal="center"/>
    </xf>
    <xf numFmtId="164" fontId="1" fillId="6" borderId="2" xfId="0" applyNumberFormat="1" applyFont="1" applyFill="1" applyBorder="1" applyAlignment="1">
      <alignment horizontal="center"/>
    </xf>
    <xf numFmtId="164" fontId="1" fillId="7" borderId="2" xfId="0" applyNumberFormat="1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164" fontId="0" fillId="0" borderId="0" xfId="0" applyNumberFormat="1"/>
    <xf numFmtId="9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 vertical="center"/>
    </xf>
    <xf numFmtId="166" fontId="4" fillId="0" borderId="0" xfId="0" applyNumberFormat="1" applyFont="1" applyAlignment="1">
      <alignment horizontal="center"/>
    </xf>
    <xf numFmtId="166" fontId="4" fillId="0" borderId="0" xfId="0" applyNumberFormat="1" applyFon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Analise_Medias!$G$60</c:f>
              <c:strCache>
                <c:ptCount val="1"/>
                <c:pt idx="0">
                  <c:v>Potência Elétrica</c:v>
                </c:pt>
              </c:strCache>
            </c:strRef>
          </c:tx>
          <c:spPr>
            <a:pattFill prst="pct40">
              <a:fgClr>
                <a:schemeClr val="tx1">
                  <a:lumMod val="95000"/>
                  <a:lumOff val="5000"/>
                </a:schemeClr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numRef>
              <c:f>Analise_Medias!$F$61:$F$63</c:f>
              <c:numCache>
                <c:formatCode>0%</c:formatCode>
                <c:ptCount val="3"/>
                <c:pt idx="0">
                  <c:v>1</c:v>
                </c:pt>
                <c:pt idx="1">
                  <c:v>0.75</c:v>
                </c:pt>
                <c:pt idx="2">
                  <c:v>0.5</c:v>
                </c:pt>
              </c:numCache>
            </c:numRef>
          </c:cat>
          <c:val>
            <c:numRef>
              <c:f>Analise_Medias!$G$61:$G$63</c:f>
              <c:numCache>
                <c:formatCode>0.0000</c:formatCode>
                <c:ptCount val="3"/>
                <c:pt idx="0">
                  <c:v>5.0162578780074324E-2</c:v>
                </c:pt>
                <c:pt idx="1">
                  <c:v>0.10272491877423551</c:v>
                </c:pt>
                <c:pt idx="2">
                  <c:v>5.1202704289377371E-2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38-4C96-945D-870E34F72492}"/>
            </c:ext>
          </c:extLst>
        </c:ser>
        <c:ser>
          <c:idx val="1"/>
          <c:order val="1"/>
          <c:tx>
            <c:strRef>
              <c:f>Analise_Medias!$H$60</c:f>
              <c:strCache>
                <c:ptCount val="1"/>
                <c:pt idx="0">
                  <c:v>Corrente</c:v>
                </c:pt>
              </c:strCache>
            </c:strRef>
          </c:tx>
          <c:spPr>
            <a:pattFill prst="wdDnDiag">
              <a:fgClr>
                <a:schemeClr val="tx1">
                  <a:lumMod val="95000"/>
                  <a:lumOff val="5000"/>
                </a:schemeClr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numRef>
              <c:f>Analise_Medias!$F$61:$F$63</c:f>
              <c:numCache>
                <c:formatCode>0%</c:formatCode>
                <c:ptCount val="3"/>
                <c:pt idx="0">
                  <c:v>1</c:v>
                </c:pt>
                <c:pt idx="1">
                  <c:v>0.75</c:v>
                </c:pt>
                <c:pt idx="2">
                  <c:v>0.5</c:v>
                </c:pt>
              </c:numCache>
            </c:numRef>
          </c:cat>
          <c:val>
            <c:numRef>
              <c:f>Analise_Medias!$H$61:$H$63</c:f>
              <c:numCache>
                <c:formatCode>0.0000</c:formatCode>
                <c:ptCount val="3"/>
                <c:pt idx="0">
                  <c:v>0.94415990716234832</c:v>
                </c:pt>
                <c:pt idx="1">
                  <c:v>0.60771702741001266</c:v>
                </c:pt>
                <c:pt idx="2">
                  <c:v>0.84845559668435366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38-4C96-945D-870E34F72492}"/>
            </c:ext>
          </c:extLst>
        </c:ser>
        <c:ser>
          <c:idx val="2"/>
          <c:order val="2"/>
          <c:tx>
            <c:strRef>
              <c:f>Analise_Medias!$I$60</c:f>
              <c:strCache>
                <c:ptCount val="1"/>
                <c:pt idx="0">
                  <c:v>Potência Reativa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Analise_Medias!$F$61:$F$63</c:f>
              <c:numCache>
                <c:formatCode>0%</c:formatCode>
                <c:ptCount val="3"/>
                <c:pt idx="0">
                  <c:v>1</c:v>
                </c:pt>
                <c:pt idx="1">
                  <c:v>0.75</c:v>
                </c:pt>
                <c:pt idx="2">
                  <c:v>0.5</c:v>
                </c:pt>
              </c:numCache>
            </c:numRef>
          </c:cat>
          <c:val>
            <c:numRef>
              <c:f>Analise_Medias!$I$61:$I$63</c:f>
              <c:numCache>
                <c:formatCode>0.0000</c:formatCode>
                <c:ptCount val="3"/>
                <c:pt idx="0">
                  <c:v>0.14281216764337254</c:v>
                </c:pt>
                <c:pt idx="1">
                  <c:v>8.3469934092650605E-2</c:v>
                </c:pt>
                <c:pt idx="2">
                  <c:v>0.71561989307382201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38-4C96-945D-870E34F72492}"/>
            </c:ext>
          </c:extLst>
        </c:ser>
        <c:ser>
          <c:idx val="3"/>
          <c:order val="3"/>
          <c:tx>
            <c:strRef>
              <c:f>Analise_Medias!$J$60</c:f>
              <c:strCache>
                <c:ptCount val="1"/>
                <c:pt idx="0">
                  <c:v>Perdas</c:v>
                </c:pt>
              </c:strCache>
            </c:strRef>
          </c:tx>
          <c:spPr>
            <a:solidFill>
              <a:schemeClr val="tx1">
                <a:lumMod val="95000"/>
                <a:lumOff val="5000"/>
              </a:schemeClr>
            </a:solidFill>
            <a:ln>
              <a:noFill/>
            </a:ln>
            <a:effectLst/>
          </c:spPr>
          <c:invertIfNegative val="0"/>
          <c:cat>
            <c:numRef>
              <c:f>Analise_Medias!$F$61:$F$63</c:f>
              <c:numCache>
                <c:formatCode>0%</c:formatCode>
                <c:ptCount val="3"/>
                <c:pt idx="0">
                  <c:v>1</c:v>
                </c:pt>
                <c:pt idx="1">
                  <c:v>0.75</c:v>
                </c:pt>
                <c:pt idx="2">
                  <c:v>0.5</c:v>
                </c:pt>
              </c:numCache>
            </c:numRef>
          </c:cat>
          <c:val>
            <c:numRef>
              <c:f>Analise_Medias!$J$61:$J$63</c:f>
              <c:numCache>
                <c:formatCode>0.0000</c:formatCode>
                <c:ptCount val="3"/>
                <c:pt idx="0">
                  <c:v>0.41802148983396065</c:v>
                </c:pt>
                <c:pt idx="1">
                  <c:v>0.85604098978527576</c:v>
                </c:pt>
                <c:pt idx="2">
                  <c:v>0.39386695607214245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638-4C96-945D-870E34F724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3719455"/>
        <c:axId val="1673723295"/>
      </c:barChart>
      <c:catAx>
        <c:axId val="16737194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r>
                  <a:rPr lang="pt-BR" sz="1200">
                    <a:solidFill>
                      <a:schemeClr val="tx1"/>
                    </a:solidFill>
                    <a:latin typeface="Arial Black" panose="020B0A04020102020204" pitchFamily="34" charset="0"/>
                  </a:rPr>
                  <a:t>Load</a:t>
                </a:r>
                <a:r>
                  <a:rPr lang="pt-BR" sz="1200" baseline="0">
                    <a:solidFill>
                      <a:schemeClr val="tx1"/>
                    </a:solidFill>
                    <a:latin typeface="Arial Black" panose="020B0A04020102020204" pitchFamily="34" charset="0"/>
                  </a:rPr>
                  <a:t>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673723295"/>
        <c:crosses val="autoZero"/>
        <c:auto val="1"/>
        <c:lblAlgn val="ctr"/>
        <c:lblOffset val="100"/>
        <c:noMultiLvlLbl val="0"/>
      </c:catAx>
      <c:valAx>
        <c:axId val="1673723295"/>
        <c:scaling>
          <c:orientation val="minMax"/>
          <c:max val="1.5"/>
          <c:min val="0"/>
        </c:scaling>
        <c:delete val="0"/>
        <c:axPos val="l"/>
        <c:majorGridlines>
          <c:spPr>
            <a:ln w="25400" cap="flat" cmpd="sng" algn="ctr">
              <a:solidFill>
                <a:schemeClr val="bg2">
                  <a:lumMod val="9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r>
                  <a:rPr lang="pt-BR" sz="1200" baseline="0">
                    <a:solidFill>
                      <a:schemeClr val="tx1"/>
                    </a:solidFill>
                    <a:latin typeface="Arial Black" panose="020B0A04020102020204" pitchFamily="34" charset="0"/>
                  </a:rPr>
                  <a:t>Erro Médio (%)</a:t>
                </a:r>
                <a:endParaRPr lang="pt-BR" sz="1200">
                  <a:solidFill>
                    <a:schemeClr val="tx1"/>
                  </a:solidFill>
                  <a:latin typeface="Arial Black" panose="020B0A040201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2.9931972789115645E-2"/>
              <c:y val="0.129747264737975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673719455"/>
        <c:crosses val="autoZero"/>
        <c:crossBetween val="between"/>
        <c:majorUnit val="0.25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6842541557305338"/>
          <c:y val="9.3077427821522309E-3"/>
          <c:w val="0.80466776027996512"/>
          <c:h val="0.138446704578594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Analise_Medias!$AD$60</c:f>
              <c:strCache>
                <c:ptCount val="1"/>
                <c:pt idx="0">
                  <c:v>Potência Elétrica</c:v>
                </c:pt>
              </c:strCache>
            </c:strRef>
          </c:tx>
          <c:spPr>
            <a:pattFill prst="pct40">
              <a:fgClr>
                <a:schemeClr val="tx1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numRef>
              <c:f>Analise_Medias!$AC$61:$AC$63</c:f>
              <c:numCache>
                <c:formatCode>0%</c:formatCode>
                <c:ptCount val="3"/>
                <c:pt idx="0">
                  <c:v>1</c:v>
                </c:pt>
                <c:pt idx="1">
                  <c:v>0.75</c:v>
                </c:pt>
                <c:pt idx="2">
                  <c:v>0.5</c:v>
                </c:pt>
              </c:numCache>
            </c:numRef>
          </c:cat>
          <c:val>
            <c:numRef>
              <c:f>Analise_Medias!$AD$61:$AD$63</c:f>
              <c:numCache>
                <c:formatCode>0.0000</c:formatCode>
                <c:ptCount val="3"/>
                <c:pt idx="0">
                  <c:v>1.7334600282070595E-2</c:v>
                </c:pt>
                <c:pt idx="1">
                  <c:v>0.63929150035702698</c:v>
                </c:pt>
                <c:pt idx="2">
                  <c:v>1.3210048603919173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50-4599-B236-42ECE8F6A522}"/>
            </c:ext>
          </c:extLst>
        </c:ser>
        <c:ser>
          <c:idx val="1"/>
          <c:order val="1"/>
          <c:tx>
            <c:strRef>
              <c:f>Analise_Medias!$AE$60</c:f>
              <c:strCache>
                <c:ptCount val="1"/>
                <c:pt idx="0">
                  <c:v>Corrente</c:v>
                </c:pt>
              </c:strCache>
            </c:strRef>
          </c:tx>
          <c:spPr>
            <a:pattFill prst="wdDnDiag">
              <a:fgClr>
                <a:schemeClr val="tx1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numRef>
              <c:f>Analise_Medias!$AC$61:$AC$63</c:f>
              <c:numCache>
                <c:formatCode>0%</c:formatCode>
                <c:ptCount val="3"/>
                <c:pt idx="0">
                  <c:v>1</c:v>
                </c:pt>
                <c:pt idx="1">
                  <c:v>0.75</c:v>
                </c:pt>
                <c:pt idx="2">
                  <c:v>0.5</c:v>
                </c:pt>
              </c:numCache>
            </c:numRef>
          </c:cat>
          <c:val>
            <c:numRef>
              <c:f>Analise_Medias!$AE$61:$AE$63</c:f>
              <c:numCache>
                <c:formatCode>0.0000</c:formatCode>
                <c:ptCount val="3"/>
                <c:pt idx="0">
                  <c:v>1.1223296925597506</c:v>
                </c:pt>
                <c:pt idx="1">
                  <c:v>0.70281859109818057</c:v>
                </c:pt>
                <c:pt idx="2">
                  <c:v>0.82376909118079455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50-4599-B236-42ECE8F6A522}"/>
            </c:ext>
          </c:extLst>
        </c:ser>
        <c:ser>
          <c:idx val="2"/>
          <c:order val="2"/>
          <c:tx>
            <c:strRef>
              <c:f>Analise_Medias!$AF$60</c:f>
              <c:strCache>
                <c:ptCount val="1"/>
                <c:pt idx="0">
                  <c:v>Potência Reativa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Analise_Medias!$AC$61:$AC$63</c:f>
              <c:numCache>
                <c:formatCode>0%</c:formatCode>
                <c:ptCount val="3"/>
                <c:pt idx="0">
                  <c:v>1</c:v>
                </c:pt>
                <c:pt idx="1">
                  <c:v>0.75</c:v>
                </c:pt>
                <c:pt idx="2">
                  <c:v>0.5</c:v>
                </c:pt>
              </c:numCache>
            </c:numRef>
          </c:cat>
          <c:val>
            <c:numRef>
              <c:f>Analise_Medias!$AF$61:$AF$63</c:f>
              <c:numCache>
                <c:formatCode>0.0000</c:formatCode>
                <c:ptCount val="3"/>
                <c:pt idx="0">
                  <c:v>4.1402925224901174E-2</c:v>
                </c:pt>
                <c:pt idx="1">
                  <c:v>0.31532453738845934</c:v>
                </c:pt>
                <c:pt idx="2">
                  <c:v>0.66914723614291038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50-4599-B236-42ECE8F6A522}"/>
            </c:ext>
          </c:extLst>
        </c:ser>
        <c:ser>
          <c:idx val="3"/>
          <c:order val="3"/>
          <c:tx>
            <c:strRef>
              <c:f>Analise_Medias!$AG$60</c:f>
              <c:strCache>
                <c:ptCount val="1"/>
                <c:pt idx="0">
                  <c:v>Perdas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numRef>
              <c:f>Analise_Medias!$AC$61:$AC$63</c:f>
              <c:numCache>
                <c:formatCode>0%</c:formatCode>
                <c:ptCount val="3"/>
                <c:pt idx="0">
                  <c:v>1</c:v>
                </c:pt>
                <c:pt idx="1">
                  <c:v>0.75</c:v>
                </c:pt>
                <c:pt idx="2">
                  <c:v>0.5</c:v>
                </c:pt>
              </c:numCache>
            </c:numRef>
          </c:cat>
          <c:val>
            <c:numRef>
              <c:f>Analise_Medias!$AG$61:$AG$63</c:f>
              <c:numCache>
                <c:formatCode>0.0000</c:formatCode>
                <c:ptCount val="3"/>
                <c:pt idx="0">
                  <c:v>0.14943620932833995</c:v>
                </c:pt>
                <c:pt idx="1">
                  <c:v>0.33594283800154884</c:v>
                </c:pt>
                <c:pt idx="2">
                  <c:v>6.8877874048896059E-2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F50-4599-B236-42ECE8F6A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3719455"/>
        <c:axId val="1673723295"/>
      </c:barChart>
      <c:catAx>
        <c:axId val="16737194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r>
                  <a:rPr lang="pt-BR" sz="1200">
                    <a:solidFill>
                      <a:schemeClr val="tx1"/>
                    </a:solidFill>
                    <a:latin typeface="Arial Black" panose="020B0A04020102020204" pitchFamily="34" charset="0"/>
                  </a:rPr>
                  <a:t>Load</a:t>
                </a:r>
                <a:r>
                  <a:rPr lang="pt-BR" sz="1200" baseline="0">
                    <a:solidFill>
                      <a:schemeClr val="tx1"/>
                    </a:solidFill>
                    <a:latin typeface="Arial Black" panose="020B0A04020102020204" pitchFamily="34" charset="0"/>
                  </a:rPr>
                  <a:t>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673723295"/>
        <c:crosses val="autoZero"/>
        <c:auto val="1"/>
        <c:lblAlgn val="ctr"/>
        <c:lblOffset val="100"/>
        <c:noMultiLvlLbl val="0"/>
      </c:catAx>
      <c:valAx>
        <c:axId val="1673723295"/>
        <c:scaling>
          <c:orientation val="minMax"/>
          <c:max val="1.5"/>
          <c:min val="0"/>
        </c:scaling>
        <c:delete val="0"/>
        <c:axPos val="l"/>
        <c:majorGridlines>
          <c:spPr>
            <a:ln w="25400" cap="flat" cmpd="sng" algn="ctr">
              <a:solidFill>
                <a:schemeClr val="bg2">
                  <a:lumMod val="9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r>
                  <a:rPr lang="pt-BR" sz="1200" b="0" i="0" u="none" strike="noStrike" kern="1200" baseline="0">
                    <a:solidFill>
                      <a:schemeClr val="tx1"/>
                    </a:solidFill>
                    <a:latin typeface="Arial Black" panose="020B0A04020102020204" pitchFamily="34" charset="0"/>
                  </a:rPr>
                  <a:t>Erro Médio (%)</a:t>
                </a:r>
              </a:p>
            </c:rich>
          </c:tx>
          <c:layout>
            <c:manualLayout>
              <c:xMode val="edge"/>
              <c:yMode val="edge"/>
              <c:x val="1.6615916604084315E-2"/>
              <c:y val="0.220193779369989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200" b="0" i="0" u="none" strike="noStrike" kern="1200" baseline="0">
                  <a:solidFill>
                    <a:sysClr val="windowText" lastClr="000000"/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673719455"/>
        <c:crosses val="autoZero"/>
        <c:crossBetween val="between"/>
        <c:majorUnit val="0.25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6842541557305338"/>
          <c:y val="9.3077427821522309E-3"/>
          <c:w val="0.80466776027996512"/>
          <c:h val="0.138446704578594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Analise_Medias!$BA$60</c:f>
              <c:strCache>
                <c:ptCount val="1"/>
                <c:pt idx="0">
                  <c:v>Potência Elétrica</c:v>
                </c:pt>
              </c:strCache>
            </c:strRef>
          </c:tx>
          <c:spPr>
            <a:pattFill prst="pct40">
              <a:fgClr>
                <a:schemeClr val="tx1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numRef>
              <c:f>Analise_Medias!$AZ$61:$AZ$63</c:f>
              <c:numCache>
                <c:formatCode>0%</c:formatCode>
                <c:ptCount val="3"/>
                <c:pt idx="0">
                  <c:v>1</c:v>
                </c:pt>
                <c:pt idx="1">
                  <c:v>0.75</c:v>
                </c:pt>
                <c:pt idx="2">
                  <c:v>0.5</c:v>
                </c:pt>
              </c:numCache>
            </c:numRef>
          </c:cat>
          <c:val>
            <c:numRef>
              <c:f>Analise_Medias!$BA$61:$BA$63</c:f>
              <c:numCache>
                <c:formatCode>0.0000</c:formatCode>
                <c:ptCount val="3"/>
                <c:pt idx="0">
                  <c:v>6.4408662611736403E-2</c:v>
                </c:pt>
                <c:pt idx="1">
                  <c:v>0.7603517271258049</c:v>
                </c:pt>
                <c:pt idx="2">
                  <c:v>1.1313457752291156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EA-4579-B8E2-CA52F4250431}"/>
            </c:ext>
          </c:extLst>
        </c:ser>
        <c:ser>
          <c:idx val="1"/>
          <c:order val="1"/>
          <c:tx>
            <c:strRef>
              <c:f>Analise_Medias!$BB$60</c:f>
              <c:strCache>
                <c:ptCount val="1"/>
                <c:pt idx="0">
                  <c:v>Corrente</c:v>
                </c:pt>
              </c:strCache>
            </c:strRef>
          </c:tx>
          <c:spPr>
            <a:pattFill prst="wdDnDiag">
              <a:fgClr>
                <a:schemeClr val="tx1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numRef>
              <c:f>Analise_Medias!$AZ$61:$AZ$63</c:f>
              <c:numCache>
                <c:formatCode>0%</c:formatCode>
                <c:ptCount val="3"/>
                <c:pt idx="0">
                  <c:v>1</c:v>
                </c:pt>
                <c:pt idx="1">
                  <c:v>0.75</c:v>
                </c:pt>
                <c:pt idx="2">
                  <c:v>0.5</c:v>
                </c:pt>
              </c:numCache>
            </c:numRef>
          </c:cat>
          <c:val>
            <c:numRef>
              <c:f>Analise_Medias!$BB$61:$BB$63</c:f>
              <c:numCache>
                <c:formatCode>0.0000</c:formatCode>
                <c:ptCount val="3"/>
                <c:pt idx="0">
                  <c:v>0.46871196709107432</c:v>
                </c:pt>
                <c:pt idx="1">
                  <c:v>6.9251584794155982E-2</c:v>
                </c:pt>
                <c:pt idx="2">
                  <c:v>1.3058050160558221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EA-4579-B8E2-CA52F4250431}"/>
            </c:ext>
          </c:extLst>
        </c:ser>
        <c:ser>
          <c:idx val="2"/>
          <c:order val="2"/>
          <c:tx>
            <c:strRef>
              <c:f>Analise_Medias!$BC$60</c:f>
              <c:strCache>
                <c:ptCount val="1"/>
                <c:pt idx="0">
                  <c:v>Potência Reativa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Analise_Medias!$AZ$61:$AZ$63</c:f>
              <c:numCache>
                <c:formatCode>0%</c:formatCode>
                <c:ptCount val="3"/>
                <c:pt idx="0">
                  <c:v>1</c:v>
                </c:pt>
                <c:pt idx="1">
                  <c:v>0.75</c:v>
                </c:pt>
                <c:pt idx="2">
                  <c:v>0.5</c:v>
                </c:pt>
              </c:numCache>
            </c:numRef>
          </c:cat>
          <c:val>
            <c:numRef>
              <c:f>Analise_Medias!$BC$61:$BC$63</c:f>
              <c:numCache>
                <c:formatCode>0.0000</c:formatCode>
                <c:ptCount val="3"/>
                <c:pt idx="0">
                  <c:v>0.99451956182661116</c:v>
                </c:pt>
                <c:pt idx="1">
                  <c:v>1.5989925570582004</c:v>
                </c:pt>
                <c:pt idx="2">
                  <c:v>0.16002756255906206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EA-4579-B8E2-CA52F4250431}"/>
            </c:ext>
          </c:extLst>
        </c:ser>
        <c:ser>
          <c:idx val="3"/>
          <c:order val="3"/>
          <c:tx>
            <c:strRef>
              <c:f>Analise_Medias!$BD$60</c:f>
              <c:strCache>
                <c:ptCount val="1"/>
                <c:pt idx="0">
                  <c:v>Perdas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numRef>
              <c:f>Analise_Medias!$AZ$61:$AZ$63</c:f>
              <c:numCache>
                <c:formatCode>0%</c:formatCode>
                <c:ptCount val="3"/>
                <c:pt idx="0">
                  <c:v>1</c:v>
                </c:pt>
                <c:pt idx="1">
                  <c:v>0.75</c:v>
                </c:pt>
                <c:pt idx="2">
                  <c:v>0.5</c:v>
                </c:pt>
              </c:numCache>
            </c:numRef>
          </c:cat>
          <c:val>
            <c:numRef>
              <c:f>Analise_Medias!$BD$61:$BD$63</c:f>
              <c:numCache>
                <c:formatCode>0.0000</c:formatCode>
                <c:ptCount val="3"/>
                <c:pt idx="0">
                  <c:v>0.6851985384226269</c:v>
                </c:pt>
                <c:pt idx="1">
                  <c:v>1.550702742346576</c:v>
                </c:pt>
                <c:pt idx="2">
                  <c:v>0.96449681835630874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EA-4579-B8E2-CA52F42504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3719455"/>
        <c:axId val="1673723295"/>
      </c:barChart>
      <c:catAx>
        <c:axId val="16737194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r>
                  <a:rPr lang="pt-BR" sz="1200">
                    <a:solidFill>
                      <a:schemeClr val="tx1"/>
                    </a:solidFill>
                    <a:latin typeface="Arial Black" panose="020B0A04020102020204" pitchFamily="34" charset="0"/>
                  </a:rPr>
                  <a:t>Load</a:t>
                </a:r>
                <a:r>
                  <a:rPr lang="pt-BR" sz="1200" baseline="0">
                    <a:solidFill>
                      <a:schemeClr val="tx1"/>
                    </a:solidFill>
                    <a:latin typeface="Arial Black" panose="020B0A04020102020204" pitchFamily="34" charset="0"/>
                  </a:rPr>
                  <a:t>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673723295"/>
        <c:crosses val="autoZero"/>
        <c:auto val="1"/>
        <c:lblAlgn val="ctr"/>
        <c:lblOffset val="100"/>
        <c:noMultiLvlLbl val="0"/>
      </c:catAx>
      <c:valAx>
        <c:axId val="1673723295"/>
        <c:scaling>
          <c:orientation val="minMax"/>
          <c:max val="1.6"/>
          <c:min val="0"/>
        </c:scaling>
        <c:delete val="0"/>
        <c:axPos val="l"/>
        <c:majorGridlines>
          <c:spPr>
            <a:ln w="25400" cap="flat" cmpd="sng" algn="ctr">
              <a:solidFill>
                <a:schemeClr val="bg2">
                  <a:lumMod val="9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r>
                  <a:rPr lang="pt-BR" sz="1200" b="0" i="0" u="none" strike="noStrike" kern="1200" baseline="0">
                    <a:solidFill>
                      <a:schemeClr val="tx1"/>
                    </a:solidFill>
                    <a:latin typeface="Arial Black" panose="020B0A04020102020204" pitchFamily="34" charset="0"/>
                  </a:rPr>
                  <a:t>Erro Médio (%)</a:t>
                </a:r>
              </a:p>
            </c:rich>
          </c:tx>
          <c:layout>
            <c:manualLayout>
              <c:xMode val="edge"/>
              <c:yMode val="edge"/>
              <c:x val="2.7767679721258515E-2"/>
              <c:y val="0.262905117613705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200" b="0" i="0" u="none" strike="noStrike" kern="1200" baseline="0">
                  <a:solidFill>
                    <a:sysClr val="windowText" lastClr="000000"/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673719455"/>
        <c:crosses val="autoZero"/>
        <c:crossBetween val="between"/>
        <c:majorUnit val="0.25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6842541557305338"/>
          <c:y val="9.3077427821522309E-3"/>
          <c:w val="0.80466776027996512"/>
          <c:h val="0.138446704578594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Analise_Medias!$BW$60</c:f>
              <c:strCache>
                <c:ptCount val="1"/>
                <c:pt idx="0">
                  <c:v>Potência Elétrica</c:v>
                </c:pt>
              </c:strCache>
            </c:strRef>
          </c:tx>
          <c:spPr>
            <a:pattFill prst="pct40">
              <a:fgClr>
                <a:schemeClr val="tx1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numRef>
              <c:f>Analise_Medias!$BV$61:$BV$63</c:f>
              <c:numCache>
                <c:formatCode>0%</c:formatCode>
                <c:ptCount val="3"/>
                <c:pt idx="0">
                  <c:v>1</c:v>
                </c:pt>
                <c:pt idx="1">
                  <c:v>0.75</c:v>
                </c:pt>
                <c:pt idx="2">
                  <c:v>0.5</c:v>
                </c:pt>
              </c:numCache>
            </c:numRef>
          </c:cat>
          <c:val>
            <c:numRef>
              <c:f>Analise_Medias!$BW$61:$BW$63</c:f>
              <c:numCache>
                <c:formatCode>0.0000</c:formatCode>
                <c:ptCount val="3"/>
                <c:pt idx="0">
                  <c:v>3.1708054698461025E-2</c:v>
                </c:pt>
                <c:pt idx="1">
                  <c:v>0.42130608621378796</c:v>
                </c:pt>
                <c:pt idx="2">
                  <c:v>0.74513000622539816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AD-455F-9A68-3930022F8724}"/>
            </c:ext>
          </c:extLst>
        </c:ser>
        <c:ser>
          <c:idx val="1"/>
          <c:order val="1"/>
          <c:tx>
            <c:strRef>
              <c:f>Analise_Medias!$BX$60</c:f>
              <c:strCache>
                <c:ptCount val="1"/>
                <c:pt idx="0">
                  <c:v>Corrente</c:v>
                </c:pt>
              </c:strCache>
            </c:strRef>
          </c:tx>
          <c:spPr>
            <a:pattFill prst="wdDnDiag">
              <a:fgClr>
                <a:schemeClr val="tx1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numRef>
              <c:f>Analise_Medias!$BV$61:$BV$63</c:f>
              <c:numCache>
                <c:formatCode>0%</c:formatCode>
                <c:ptCount val="3"/>
                <c:pt idx="0">
                  <c:v>1</c:v>
                </c:pt>
                <c:pt idx="1">
                  <c:v>0.75</c:v>
                </c:pt>
                <c:pt idx="2">
                  <c:v>0.5</c:v>
                </c:pt>
              </c:numCache>
            </c:numRef>
          </c:cat>
          <c:val>
            <c:numRef>
              <c:f>Analise_Medias!$BX$61:$BX$63</c:f>
              <c:numCache>
                <c:formatCode>0.0000</c:formatCode>
                <c:ptCount val="3"/>
                <c:pt idx="0">
                  <c:v>0.91489866644652562</c:v>
                </c:pt>
                <c:pt idx="1">
                  <c:v>0.84202833638755858</c:v>
                </c:pt>
                <c:pt idx="2">
                  <c:v>0.20731605012714002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AD-455F-9A68-3930022F8724}"/>
            </c:ext>
          </c:extLst>
        </c:ser>
        <c:ser>
          <c:idx val="2"/>
          <c:order val="2"/>
          <c:tx>
            <c:strRef>
              <c:f>Analise_Medias!$BY$60</c:f>
              <c:strCache>
                <c:ptCount val="1"/>
                <c:pt idx="0">
                  <c:v>Potência Reativa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Analise_Medias!$BV$61:$BV$63</c:f>
              <c:numCache>
                <c:formatCode>0%</c:formatCode>
                <c:ptCount val="3"/>
                <c:pt idx="0">
                  <c:v>1</c:v>
                </c:pt>
                <c:pt idx="1">
                  <c:v>0.75</c:v>
                </c:pt>
                <c:pt idx="2">
                  <c:v>0.5</c:v>
                </c:pt>
              </c:numCache>
            </c:numRef>
          </c:cat>
          <c:val>
            <c:numRef>
              <c:f>Analise_Medias!$BY$61:$BY$63</c:f>
              <c:numCache>
                <c:formatCode>0.0000</c:formatCode>
                <c:ptCount val="3"/>
                <c:pt idx="0">
                  <c:v>0.55171624488197313</c:v>
                </c:pt>
                <c:pt idx="1">
                  <c:v>1.2612864587999946</c:v>
                </c:pt>
                <c:pt idx="2">
                  <c:v>0.88668720252318411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AD-455F-9A68-3930022F8724}"/>
            </c:ext>
          </c:extLst>
        </c:ser>
        <c:ser>
          <c:idx val="3"/>
          <c:order val="3"/>
          <c:tx>
            <c:strRef>
              <c:f>Analise_Medias!$BZ$60</c:f>
              <c:strCache>
                <c:ptCount val="1"/>
                <c:pt idx="0">
                  <c:v>Perdas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numRef>
              <c:f>Analise_Medias!$BV$61:$BV$63</c:f>
              <c:numCache>
                <c:formatCode>0%</c:formatCode>
                <c:ptCount val="3"/>
                <c:pt idx="0">
                  <c:v>1</c:v>
                </c:pt>
                <c:pt idx="1">
                  <c:v>0.75</c:v>
                </c:pt>
                <c:pt idx="2">
                  <c:v>0.5</c:v>
                </c:pt>
              </c:numCache>
            </c:numRef>
          </c:cat>
          <c:val>
            <c:numRef>
              <c:f>Analise_Medias!$BZ$61:$BZ$63</c:f>
              <c:numCache>
                <c:formatCode>0.0000</c:formatCode>
                <c:ptCount val="3"/>
                <c:pt idx="0">
                  <c:v>0.39145746541309273</c:v>
                </c:pt>
                <c:pt idx="1">
                  <c:v>0.41438328474331115</c:v>
                </c:pt>
                <c:pt idx="2">
                  <c:v>0.28910754931683291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AD-455F-9A68-3930022F87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3719455"/>
        <c:axId val="1673723295"/>
      </c:barChart>
      <c:catAx>
        <c:axId val="16737194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r>
                  <a:rPr lang="pt-BR" sz="1200">
                    <a:solidFill>
                      <a:schemeClr val="tx1"/>
                    </a:solidFill>
                    <a:latin typeface="Arial Black" panose="020B0A04020102020204" pitchFamily="34" charset="0"/>
                  </a:rPr>
                  <a:t>Load</a:t>
                </a:r>
                <a:r>
                  <a:rPr lang="pt-BR" sz="1200" baseline="0">
                    <a:solidFill>
                      <a:schemeClr val="tx1"/>
                    </a:solidFill>
                    <a:latin typeface="Arial Black" panose="020B0A04020102020204" pitchFamily="34" charset="0"/>
                  </a:rPr>
                  <a:t>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673723295"/>
        <c:crosses val="autoZero"/>
        <c:auto val="1"/>
        <c:lblAlgn val="ctr"/>
        <c:lblOffset val="100"/>
        <c:noMultiLvlLbl val="0"/>
      </c:catAx>
      <c:valAx>
        <c:axId val="1673723295"/>
        <c:scaling>
          <c:orientation val="minMax"/>
          <c:max val="1.5"/>
          <c:min val="0"/>
        </c:scaling>
        <c:delete val="0"/>
        <c:axPos val="l"/>
        <c:majorGridlines>
          <c:spPr>
            <a:ln w="25400" cap="flat" cmpd="sng" algn="ctr">
              <a:solidFill>
                <a:schemeClr val="bg2">
                  <a:lumMod val="9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r>
                  <a:rPr lang="pt-BR" sz="1200" b="0" i="0" u="none" strike="noStrike" kern="1200" baseline="0">
                    <a:solidFill>
                      <a:schemeClr val="tx1"/>
                    </a:solidFill>
                    <a:latin typeface="Arial Black" panose="020B0A04020102020204" pitchFamily="34" charset="0"/>
                  </a:rPr>
                  <a:t>Erro Médio (%)</a:t>
                </a:r>
              </a:p>
            </c:rich>
          </c:tx>
          <c:layout>
            <c:manualLayout>
              <c:xMode val="edge"/>
              <c:yMode val="edge"/>
              <c:x val="2.7777783875639332E-2"/>
              <c:y val="0.206194394639215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673719455"/>
        <c:crosses val="autoZero"/>
        <c:crossBetween val="between"/>
        <c:majorUnit val="0.25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6842541557305338"/>
          <c:y val="9.3077427821522309E-3"/>
          <c:w val="0.80466776027996512"/>
          <c:h val="0.138446704578594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Analise_Medias!$CT$60</c:f>
              <c:strCache>
                <c:ptCount val="1"/>
                <c:pt idx="0">
                  <c:v>Potência Elétrica</c:v>
                </c:pt>
              </c:strCache>
            </c:strRef>
          </c:tx>
          <c:spPr>
            <a:pattFill prst="pct40">
              <a:fgClr>
                <a:schemeClr val="tx1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numRef>
              <c:f>Analise_Medias!$CS$61:$CS$63</c:f>
              <c:numCache>
                <c:formatCode>0%</c:formatCode>
                <c:ptCount val="3"/>
                <c:pt idx="0">
                  <c:v>1</c:v>
                </c:pt>
                <c:pt idx="1">
                  <c:v>0.75</c:v>
                </c:pt>
                <c:pt idx="2">
                  <c:v>0.5</c:v>
                </c:pt>
              </c:numCache>
            </c:numRef>
          </c:cat>
          <c:val>
            <c:numRef>
              <c:f>Analise_Medias!$CT$61:$CT$63</c:f>
              <c:numCache>
                <c:formatCode>0.0000</c:formatCode>
                <c:ptCount val="3"/>
                <c:pt idx="0">
                  <c:v>3.9357646170008934E-2</c:v>
                </c:pt>
                <c:pt idx="1">
                  <c:v>0.61793411404093457</c:v>
                </c:pt>
                <c:pt idx="2">
                  <c:v>1.0518270428547796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56-4D52-9B82-14EFBF760A8A}"/>
            </c:ext>
          </c:extLst>
        </c:ser>
        <c:ser>
          <c:idx val="1"/>
          <c:order val="1"/>
          <c:tx>
            <c:strRef>
              <c:f>Analise_Medias!$CU$60</c:f>
              <c:strCache>
                <c:ptCount val="1"/>
                <c:pt idx="0">
                  <c:v>Corrente</c:v>
                </c:pt>
              </c:strCache>
            </c:strRef>
          </c:tx>
          <c:spPr>
            <a:pattFill prst="wdDnDiag">
              <a:fgClr>
                <a:schemeClr val="tx1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numRef>
              <c:f>Analise_Medias!$CS$61:$CS$63</c:f>
              <c:numCache>
                <c:formatCode>0%</c:formatCode>
                <c:ptCount val="3"/>
                <c:pt idx="0">
                  <c:v>1</c:v>
                </c:pt>
                <c:pt idx="1">
                  <c:v>0.75</c:v>
                </c:pt>
                <c:pt idx="2">
                  <c:v>0.5</c:v>
                </c:pt>
              </c:numCache>
            </c:numRef>
          </c:cat>
          <c:val>
            <c:numRef>
              <c:f>Analise_Medias!$CU$61:$CU$63</c:f>
              <c:numCache>
                <c:formatCode>0.0000</c:formatCode>
                <c:ptCount val="3"/>
                <c:pt idx="0">
                  <c:v>0.90964092718683387</c:v>
                </c:pt>
                <c:pt idx="1">
                  <c:v>8.3864507332286925E-2</c:v>
                </c:pt>
                <c:pt idx="2">
                  <c:v>1.334607910738141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56-4D52-9B82-14EFBF760A8A}"/>
            </c:ext>
          </c:extLst>
        </c:ser>
        <c:ser>
          <c:idx val="2"/>
          <c:order val="2"/>
          <c:tx>
            <c:strRef>
              <c:f>Analise_Medias!$CV$60</c:f>
              <c:strCache>
                <c:ptCount val="1"/>
                <c:pt idx="0">
                  <c:v>Potência Reativa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Analise_Medias!$CS$61:$CS$63</c:f>
              <c:numCache>
                <c:formatCode>0%</c:formatCode>
                <c:ptCount val="3"/>
                <c:pt idx="0">
                  <c:v>1</c:v>
                </c:pt>
                <c:pt idx="1">
                  <c:v>0.75</c:v>
                </c:pt>
                <c:pt idx="2">
                  <c:v>0.5</c:v>
                </c:pt>
              </c:numCache>
            </c:numRef>
          </c:cat>
          <c:val>
            <c:numRef>
              <c:f>Analise_Medias!$CV$61:$CV$63</c:f>
              <c:numCache>
                <c:formatCode>0.0000</c:formatCode>
                <c:ptCount val="3"/>
                <c:pt idx="0">
                  <c:v>0.70691420156780427</c:v>
                </c:pt>
                <c:pt idx="1">
                  <c:v>1.1182206771664382</c:v>
                </c:pt>
                <c:pt idx="2">
                  <c:v>0.10318620524469503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56-4D52-9B82-14EFBF760A8A}"/>
            </c:ext>
          </c:extLst>
        </c:ser>
        <c:ser>
          <c:idx val="3"/>
          <c:order val="3"/>
          <c:tx>
            <c:strRef>
              <c:f>Analise_Medias!$CW$60</c:f>
              <c:strCache>
                <c:ptCount val="1"/>
                <c:pt idx="0">
                  <c:v>Perdas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numRef>
              <c:f>Analise_Medias!$CS$61:$CS$63</c:f>
              <c:numCache>
                <c:formatCode>0%</c:formatCode>
                <c:ptCount val="3"/>
                <c:pt idx="0">
                  <c:v>1</c:v>
                </c:pt>
                <c:pt idx="1">
                  <c:v>0.75</c:v>
                </c:pt>
                <c:pt idx="2">
                  <c:v>0.5</c:v>
                </c:pt>
              </c:numCache>
            </c:numRef>
          </c:cat>
          <c:val>
            <c:numRef>
              <c:f>Analise_Medias!$CW$61:$CW$63</c:f>
              <c:numCache>
                <c:formatCode>0.0000</c:formatCode>
                <c:ptCount val="3"/>
                <c:pt idx="0">
                  <c:v>0.50458520730781098</c:v>
                </c:pt>
                <c:pt idx="1">
                  <c:v>0.91653175520780295</c:v>
                </c:pt>
                <c:pt idx="2">
                  <c:v>0.48983954769066917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756-4D52-9B82-14EFBF760A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3719455"/>
        <c:axId val="1673723295"/>
      </c:barChart>
      <c:catAx>
        <c:axId val="16737194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r>
                  <a:rPr lang="pt-BR" sz="1200">
                    <a:solidFill>
                      <a:schemeClr val="tx1"/>
                    </a:solidFill>
                    <a:latin typeface="Arial Black" panose="020B0A04020102020204" pitchFamily="34" charset="0"/>
                  </a:rPr>
                  <a:t>Load</a:t>
                </a:r>
                <a:r>
                  <a:rPr lang="pt-BR" sz="1200" baseline="0">
                    <a:solidFill>
                      <a:schemeClr val="tx1"/>
                    </a:solidFill>
                    <a:latin typeface="Arial Black" panose="020B0A04020102020204" pitchFamily="34" charset="0"/>
                  </a:rPr>
                  <a:t>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673723295"/>
        <c:crosses val="autoZero"/>
        <c:auto val="1"/>
        <c:lblAlgn val="ctr"/>
        <c:lblOffset val="100"/>
        <c:noMultiLvlLbl val="0"/>
      </c:catAx>
      <c:valAx>
        <c:axId val="1673723295"/>
        <c:scaling>
          <c:orientation val="minMax"/>
          <c:max val="1.5"/>
          <c:min val="0"/>
        </c:scaling>
        <c:delete val="0"/>
        <c:axPos val="l"/>
        <c:majorGridlines>
          <c:spPr>
            <a:ln w="25400" cap="flat" cmpd="sng" algn="ctr">
              <a:solidFill>
                <a:schemeClr val="bg2">
                  <a:lumMod val="9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r>
                  <a:rPr lang="pt-BR" sz="1200" b="0" i="0" u="none" strike="noStrike" kern="1200" baseline="0">
                    <a:solidFill>
                      <a:schemeClr val="tx1"/>
                    </a:solidFill>
                    <a:latin typeface="Arial Black" panose="020B0A04020102020204" pitchFamily="34" charset="0"/>
                  </a:rPr>
                  <a:t>Erro Médio (%)</a:t>
                </a:r>
              </a:p>
            </c:rich>
          </c:tx>
          <c:layout>
            <c:manualLayout>
              <c:xMode val="edge"/>
              <c:yMode val="edge"/>
              <c:x val="3.0555621412445898E-2"/>
              <c:y val="0.230110316712341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673719455"/>
        <c:crosses val="autoZero"/>
        <c:crossBetween val="between"/>
        <c:majorUnit val="0.25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6842541557305338"/>
          <c:y val="9.3077427821522309E-3"/>
          <c:w val="0.80466776027996512"/>
          <c:h val="0.138446704578594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4"/>
          <c:order val="4"/>
          <c:tx>
            <c:strRef>
              <c:f>Analise_Medias!$K$60</c:f>
              <c:strCache>
                <c:ptCount val="1"/>
                <c:pt idx="0">
                  <c:v>Rendimento - Lim 0.018 p.p.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Analise_Medias!$F$61:$F$63</c:f>
              <c:numCache>
                <c:formatCode>0%</c:formatCode>
                <c:ptCount val="3"/>
                <c:pt idx="0">
                  <c:v>1</c:v>
                </c:pt>
                <c:pt idx="1">
                  <c:v>0.75</c:v>
                </c:pt>
                <c:pt idx="2">
                  <c:v>0.5</c:v>
                </c:pt>
              </c:numCache>
            </c:numRef>
          </c:cat>
          <c:val>
            <c:numRef>
              <c:f>Analise_Medias!$K$61:$K$63</c:f>
              <c:numCache>
                <c:formatCode>0.0000</c:formatCode>
                <c:ptCount val="3"/>
                <c:pt idx="0">
                  <c:v>4.4120068062053041E-4</c:v>
                </c:pt>
                <c:pt idx="1">
                  <c:v>9.0490951128781251E-4</c:v>
                </c:pt>
                <c:pt idx="2">
                  <c:v>4.4522409722757672E-4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840-4C9F-9DBA-66511A37B544}"/>
            </c:ext>
          </c:extLst>
        </c:ser>
        <c:ser>
          <c:idx val="5"/>
          <c:order val="5"/>
          <c:tx>
            <c:strRef>
              <c:f>Analise_Medias!$L$60</c:f>
              <c:strCache>
                <c:ptCount val="1"/>
                <c:pt idx="0">
                  <c:v>Fator de Potência - Lim 0.033 p.p.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Analise_Medias!$F$61:$F$63</c:f>
              <c:numCache>
                <c:formatCode>0%</c:formatCode>
                <c:ptCount val="3"/>
                <c:pt idx="0">
                  <c:v>1</c:v>
                </c:pt>
                <c:pt idx="1">
                  <c:v>0.75</c:v>
                </c:pt>
                <c:pt idx="2">
                  <c:v>0.5</c:v>
                </c:pt>
              </c:numCache>
            </c:numRef>
          </c:cat>
          <c:val>
            <c:numRef>
              <c:f>Analise_Medias!$L$61:$L$63</c:f>
              <c:numCache>
                <c:formatCode>0.0000</c:formatCode>
                <c:ptCount val="3"/>
                <c:pt idx="0">
                  <c:v>2.6669318942035725E-4</c:v>
                </c:pt>
                <c:pt idx="1">
                  <c:v>6.3474545722237566E-4</c:v>
                </c:pt>
                <c:pt idx="2">
                  <c:v>2.9608923021346573E-3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840-4C9F-9DBA-66511A37B5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3719455"/>
        <c:axId val="167372329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Analise_Medias!$G$60</c15:sqref>
                        </c15:formulaRef>
                      </c:ext>
                    </c:extLst>
                    <c:strCache>
                      <c:ptCount val="1"/>
                      <c:pt idx="0">
                        <c:v>Potência Elétrica</c:v>
                      </c:pt>
                    </c:strCache>
                  </c:strRef>
                </c:tx>
                <c:spPr>
                  <a:pattFill prst="pct40">
                    <a:fgClr>
                      <a:schemeClr val="tx1">
                        <a:lumMod val="95000"/>
                        <a:lumOff val="5000"/>
                      </a:schemeClr>
                    </a:fgClr>
                    <a:bgClr>
                      <a:schemeClr val="bg1"/>
                    </a:bgClr>
                  </a:patt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Analise_Medias!$F$61:$F$63</c15:sqref>
                        </c15:formulaRef>
                      </c:ext>
                    </c:extLst>
                    <c:numCache>
                      <c:formatCode>0%</c:formatCode>
                      <c:ptCount val="3"/>
                      <c:pt idx="0">
                        <c:v>1</c:v>
                      </c:pt>
                      <c:pt idx="1">
                        <c:v>0.75</c:v>
                      </c:pt>
                      <c:pt idx="2">
                        <c:v>0.5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Analise_Medias!$G$61:$G$63</c15:sqref>
                        </c15:formulaRef>
                      </c:ext>
                    </c:extLst>
                    <c:numCache>
                      <c:formatCode>0.0000</c:formatCode>
                      <c:ptCount val="3"/>
                      <c:pt idx="0">
                        <c:v>5.0162578780074324E-2</c:v>
                      </c:pt>
                      <c:pt idx="1">
                        <c:v>0.10272491877423551</c:v>
                      </c:pt>
                      <c:pt idx="2">
                        <c:v>5.1202704289377371E-2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4840-4C9F-9DBA-66511A37B544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Analise_Medias!$H$60</c15:sqref>
                        </c15:formulaRef>
                      </c:ext>
                    </c:extLst>
                    <c:strCache>
                      <c:ptCount val="1"/>
                      <c:pt idx="0">
                        <c:v>Corrente</c:v>
                      </c:pt>
                    </c:strCache>
                  </c:strRef>
                </c:tx>
                <c:spPr>
                  <a:pattFill prst="wdDnDiag">
                    <a:fgClr>
                      <a:schemeClr val="tx1">
                        <a:lumMod val="95000"/>
                        <a:lumOff val="5000"/>
                      </a:schemeClr>
                    </a:fgClr>
                    <a:bgClr>
                      <a:schemeClr val="bg1"/>
                    </a:bgClr>
                  </a:patt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Analise_Medias!$F$61:$F$63</c15:sqref>
                        </c15:formulaRef>
                      </c:ext>
                    </c:extLst>
                    <c:numCache>
                      <c:formatCode>0%</c:formatCode>
                      <c:ptCount val="3"/>
                      <c:pt idx="0">
                        <c:v>1</c:v>
                      </c:pt>
                      <c:pt idx="1">
                        <c:v>0.75</c:v>
                      </c:pt>
                      <c:pt idx="2">
                        <c:v>0.5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Analise_Medias!$H$61:$H$63</c15:sqref>
                        </c15:formulaRef>
                      </c:ext>
                    </c:extLst>
                    <c:numCache>
                      <c:formatCode>0.0000</c:formatCode>
                      <c:ptCount val="3"/>
                      <c:pt idx="0">
                        <c:v>0.94415990716234832</c:v>
                      </c:pt>
                      <c:pt idx="1">
                        <c:v>0.60771702741001266</c:v>
                      </c:pt>
                      <c:pt idx="2">
                        <c:v>0.84845559668435366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4840-4C9F-9DBA-66511A37B54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Analise_Medias!$I$60</c15:sqref>
                        </c15:formulaRef>
                      </c:ext>
                    </c:extLst>
                    <c:strCache>
                      <c:ptCount val="1"/>
                      <c:pt idx="0">
                        <c:v>Potência Reativa</c:v>
                      </c:pt>
                    </c:strCache>
                  </c:strRef>
                </c:tx>
                <c:spPr>
                  <a:solidFill>
                    <a:schemeClr val="bg2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Analise_Medias!$F$61:$F$63</c15:sqref>
                        </c15:formulaRef>
                      </c:ext>
                    </c:extLst>
                    <c:numCache>
                      <c:formatCode>0%</c:formatCode>
                      <c:ptCount val="3"/>
                      <c:pt idx="0">
                        <c:v>1</c:v>
                      </c:pt>
                      <c:pt idx="1">
                        <c:v>0.75</c:v>
                      </c:pt>
                      <c:pt idx="2">
                        <c:v>0.5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Analise_Medias!$I$61:$I$63</c15:sqref>
                        </c15:formulaRef>
                      </c:ext>
                    </c:extLst>
                    <c:numCache>
                      <c:formatCode>0.0000</c:formatCode>
                      <c:ptCount val="3"/>
                      <c:pt idx="0">
                        <c:v>0.14281216764337254</c:v>
                      </c:pt>
                      <c:pt idx="1">
                        <c:v>8.3469934092650605E-2</c:v>
                      </c:pt>
                      <c:pt idx="2">
                        <c:v>0.71561989307382201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840-4C9F-9DBA-66511A37B544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Analise_Medias!$J$60</c15:sqref>
                        </c15:formulaRef>
                      </c:ext>
                    </c:extLst>
                    <c:strCache>
                      <c:ptCount val="1"/>
                      <c:pt idx="0">
                        <c:v>Perdas</c:v>
                      </c:pt>
                    </c:strCache>
                  </c:strRef>
                </c:tx>
                <c:spPr>
                  <a:solidFill>
                    <a:schemeClr val="tx1">
                      <a:lumMod val="95000"/>
                      <a:lumOff val="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Analise_Medias!$F$61:$F$63</c15:sqref>
                        </c15:formulaRef>
                      </c:ext>
                    </c:extLst>
                    <c:numCache>
                      <c:formatCode>0%</c:formatCode>
                      <c:ptCount val="3"/>
                      <c:pt idx="0">
                        <c:v>1</c:v>
                      </c:pt>
                      <c:pt idx="1">
                        <c:v>0.75</c:v>
                      </c:pt>
                      <c:pt idx="2">
                        <c:v>0.5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Analise_Medias!$J$61:$J$63</c15:sqref>
                        </c15:formulaRef>
                      </c:ext>
                    </c:extLst>
                    <c:numCache>
                      <c:formatCode>0.0000</c:formatCode>
                      <c:ptCount val="3"/>
                      <c:pt idx="0">
                        <c:v>0.41802148983396065</c:v>
                      </c:pt>
                      <c:pt idx="1">
                        <c:v>0.85604098978527576</c:v>
                      </c:pt>
                      <c:pt idx="2">
                        <c:v>0.39386695607214245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840-4C9F-9DBA-66511A37B544}"/>
                  </c:ext>
                </c:extLst>
              </c15:ser>
            </c15:filteredBarSeries>
          </c:ext>
        </c:extLst>
      </c:barChart>
      <c:catAx>
        <c:axId val="16737194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r>
                  <a:rPr lang="pt-BR" sz="1200">
                    <a:solidFill>
                      <a:schemeClr val="tx1"/>
                    </a:solidFill>
                    <a:latin typeface="Arial Black" panose="020B0A04020102020204" pitchFamily="34" charset="0"/>
                  </a:rPr>
                  <a:t>Load</a:t>
                </a:r>
                <a:r>
                  <a:rPr lang="pt-BR" sz="1200" baseline="0">
                    <a:solidFill>
                      <a:schemeClr val="tx1"/>
                    </a:solidFill>
                    <a:latin typeface="Arial Black" panose="020B0A04020102020204" pitchFamily="34" charset="0"/>
                  </a:rPr>
                  <a:t>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673723295"/>
        <c:crosses val="autoZero"/>
        <c:auto val="1"/>
        <c:lblAlgn val="ctr"/>
        <c:lblOffset val="100"/>
        <c:noMultiLvlLbl val="0"/>
      </c:catAx>
      <c:valAx>
        <c:axId val="1673723295"/>
        <c:scaling>
          <c:orientation val="minMax"/>
          <c:max val="4.000000000000001E-3"/>
          <c:min val="0"/>
        </c:scaling>
        <c:delete val="0"/>
        <c:axPos val="l"/>
        <c:majorGridlines>
          <c:spPr>
            <a:ln w="25400" cap="flat" cmpd="sng" algn="ctr">
              <a:solidFill>
                <a:schemeClr val="bg2">
                  <a:lumMod val="9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r>
                  <a:rPr lang="pt-BR" sz="1200" baseline="0">
                    <a:solidFill>
                      <a:schemeClr val="tx1"/>
                    </a:solidFill>
                    <a:latin typeface="Arial Black" panose="020B0A04020102020204" pitchFamily="34" charset="0"/>
                  </a:rPr>
                  <a:t>Erro Padrão (%)</a:t>
                </a:r>
                <a:endParaRPr lang="pt-BR" sz="1200">
                  <a:solidFill>
                    <a:schemeClr val="tx1"/>
                  </a:solidFill>
                  <a:latin typeface="Arial Black" panose="020B0A040201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1.6259627382642743E-2"/>
              <c:y val="0.22038861967903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#,##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673719455"/>
        <c:crosses val="autoZero"/>
        <c:crossBetween val="between"/>
        <c:majorUnit val="1.0000000000000002E-3"/>
        <c:minorUnit val="2.0000000000000006E-4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9914440841953582"/>
          <c:y val="1.8677777716295654E-2"/>
          <c:w val="0.56752220258182007"/>
          <c:h val="0.14993655349731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4"/>
          <c:order val="4"/>
          <c:tx>
            <c:strRef>
              <c:f>Analise_Medias!$AH$60</c:f>
              <c:strCache>
                <c:ptCount val="1"/>
                <c:pt idx="0">
                  <c:v>Rendimento- Lim 0.017 p.p.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Analise_Medias!$AC$61:$AC$63</c:f>
              <c:numCache>
                <c:formatCode>0%</c:formatCode>
                <c:ptCount val="3"/>
                <c:pt idx="0">
                  <c:v>1</c:v>
                </c:pt>
                <c:pt idx="1">
                  <c:v>0.75</c:v>
                </c:pt>
                <c:pt idx="2">
                  <c:v>0.5</c:v>
                </c:pt>
              </c:numCache>
            </c:numRef>
          </c:cat>
          <c:val>
            <c:numRef>
              <c:f>Analise_Medias!$AH$61:$AH$63</c:f>
              <c:numCache>
                <c:formatCode>0.0000</c:formatCode>
                <c:ptCount val="3"/>
                <c:pt idx="0">
                  <c:v>1.5327063538696616E-4</c:v>
                </c:pt>
                <c:pt idx="1">
                  <c:v>1.1385496971675058E-3</c:v>
                </c:pt>
                <c:pt idx="2">
                  <c:v>1.7794869211993981E-3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EF-43B6-9DEE-1E1C0BCAA675}"/>
            </c:ext>
          </c:extLst>
        </c:ser>
        <c:ser>
          <c:idx val="5"/>
          <c:order val="5"/>
          <c:tx>
            <c:strRef>
              <c:f>Analise_Medias!$AI$60</c:f>
              <c:strCache>
                <c:ptCount val="1"/>
                <c:pt idx="0">
                  <c:v>Fator de Potência - Lim 0.028 p.p.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Analise_Medias!$AC$61:$AC$63</c:f>
              <c:numCache>
                <c:formatCode>0%</c:formatCode>
                <c:ptCount val="3"/>
                <c:pt idx="0">
                  <c:v>1</c:v>
                </c:pt>
                <c:pt idx="1">
                  <c:v>0.75</c:v>
                </c:pt>
                <c:pt idx="2">
                  <c:v>0.5</c:v>
                </c:pt>
              </c:numCache>
            </c:numRef>
          </c:cat>
          <c:val>
            <c:numRef>
              <c:f>Analise_Medias!$AI$61:$AI$63</c:f>
              <c:numCache>
                <c:formatCode>0.0000</c:formatCode>
                <c:ptCount val="3"/>
                <c:pt idx="0">
                  <c:v>8.6292966820893384E-5</c:v>
                </c:pt>
                <c:pt idx="1">
                  <c:v>3.0116139775385425E-3</c:v>
                </c:pt>
                <c:pt idx="2">
                  <c:v>2.4634484377762506E-3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EF-43B6-9DEE-1E1C0BCAA6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3719455"/>
        <c:axId val="167372329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Analise_Medias!$AD$60</c15:sqref>
                        </c15:formulaRef>
                      </c:ext>
                    </c:extLst>
                    <c:strCache>
                      <c:ptCount val="1"/>
                      <c:pt idx="0">
                        <c:v>Potência Elétrica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Analise_Medias!$AC$61:$AC$63</c15:sqref>
                        </c15:formulaRef>
                      </c:ext>
                    </c:extLst>
                    <c:numCache>
                      <c:formatCode>0%</c:formatCode>
                      <c:ptCount val="3"/>
                      <c:pt idx="0">
                        <c:v>1</c:v>
                      </c:pt>
                      <c:pt idx="1">
                        <c:v>0.75</c:v>
                      </c:pt>
                      <c:pt idx="2">
                        <c:v>0.5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Analise_Medias!$AD$61:$AD$63</c15:sqref>
                        </c15:formulaRef>
                      </c:ext>
                    </c:extLst>
                    <c:numCache>
                      <c:formatCode>0.0000</c:formatCode>
                      <c:ptCount val="3"/>
                      <c:pt idx="0">
                        <c:v>1.7334600282070595E-2</c:v>
                      </c:pt>
                      <c:pt idx="1">
                        <c:v>0.63929150035702698</c:v>
                      </c:pt>
                      <c:pt idx="2">
                        <c:v>1.3210048603919173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43EF-43B6-9DEE-1E1C0BCAA675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Analise_Medias!$AE$60</c15:sqref>
                        </c15:formulaRef>
                      </c:ext>
                    </c:extLst>
                    <c:strCache>
                      <c:ptCount val="1"/>
                      <c:pt idx="0">
                        <c:v>Corrente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Analise_Medias!$AC$61:$AC$63</c15:sqref>
                        </c15:formulaRef>
                      </c:ext>
                    </c:extLst>
                    <c:numCache>
                      <c:formatCode>0%</c:formatCode>
                      <c:ptCount val="3"/>
                      <c:pt idx="0">
                        <c:v>1</c:v>
                      </c:pt>
                      <c:pt idx="1">
                        <c:v>0.75</c:v>
                      </c:pt>
                      <c:pt idx="2">
                        <c:v>0.5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Analise_Medias!$AE$61:$AE$63</c15:sqref>
                        </c15:formulaRef>
                      </c:ext>
                    </c:extLst>
                    <c:numCache>
                      <c:formatCode>0.0000</c:formatCode>
                      <c:ptCount val="3"/>
                      <c:pt idx="0">
                        <c:v>1.1223296925597506</c:v>
                      </c:pt>
                      <c:pt idx="1">
                        <c:v>0.70281859109818057</c:v>
                      </c:pt>
                      <c:pt idx="2">
                        <c:v>0.82376909118079455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3EF-43B6-9DEE-1E1C0BCAA675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Analise_Medias!$AF$60</c15:sqref>
                        </c15:formulaRef>
                      </c:ext>
                    </c:extLst>
                    <c:strCache>
                      <c:ptCount val="1"/>
                      <c:pt idx="0">
                        <c:v>Potência Reativa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Analise_Medias!$AC$61:$AC$63</c15:sqref>
                        </c15:formulaRef>
                      </c:ext>
                    </c:extLst>
                    <c:numCache>
                      <c:formatCode>0%</c:formatCode>
                      <c:ptCount val="3"/>
                      <c:pt idx="0">
                        <c:v>1</c:v>
                      </c:pt>
                      <c:pt idx="1">
                        <c:v>0.75</c:v>
                      </c:pt>
                      <c:pt idx="2">
                        <c:v>0.5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Analise_Medias!$AF$61:$AF$63</c15:sqref>
                        </c15:formulaRef>
                      </c:ext>
                    </c:extLst>
                    <c:numCache>
                      <c:formatCode>0.0000</c:formatCode>
                      <c:ptCount val="3"/>
                      <c:pt idx="0">
                        <c:v>4.1402925224901174E-2</c:v>
                      </c:pt>
                      <c:pt idx="1">
                        <c:v>0.31532453738845934</c:v>
                      </c:pt>
                      <c:pt idx="2">
                        <c:v>0.66914723614291038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3EF-43B6-9DEE-1E1C0BCAA675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Analise_Medias!$AG$60</c15:sqref>
                        </c15:formulaRef>
                      </c:ext>
                    </c:extLst>
                    <c:strCache>
                      <c:ptCount val="1"/>
                      <c:pt idx="0">
                        <c:v>Perdas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Analise_Medias!$AC$61:$AC$63</c15:sqref>
                        </c15:formulaRef>
                      </c:ext>
                    </c:extLst>
                    <c:numCache>
                      <c:formatCode>0%</c:formatCode>
                      <c:ptCount val="3"/>
                      <c:pt idx="0">
                        <c:v>1</c:v>
                      </c:pt>
                      <c:pt idx="1">
                        <c:v>0.75</c:v>
                      </c:pt>
                      <c:pt idx="2">
                        <c:v>0.5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Analise_Medias!$AG$61:$AG$63</c15:sqref>
                        </c15:formulaRef>
                      </c:ext>
                    </c:extLst>
                    <c:numCache>
                      <c:formatCode>0.0000</c:formatCode>
                      <c:ptCount val="3"/>
                      <c:pt idx="0">
                        <c:v>0.14943620932833995</c:v>
                      </c:pt>
                      <c:pt idx="1">
                        <c:v>0.33594283800154884</c:v>
                      </c:pt>
                      <c:pt idx="2">
                        <c:v>6.8877874048896059E-2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3EF-43B6-9DEE-1E1C0BCAA675}"/>
                  </c:ext>
                </c:extLst>
              </c15:ser>
            </c15:filteredBarSeries>
          </c:ext>
        </c:extLst>
      </c:barChart>
      <c:catAx>
        <c:axId val="16737194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r>
                  <a:rPr lang="pt-BR" sz="1200">
                    <a:solidFill>
                      <a:schemeClr val="tx1"/>
                    </a:solidFill>
                    <a:latin typeface="Arial Black" panose="020B0A04020102020204" pitchFamily="34" charset="0"/>
                  </a:rPr>
                  <a:t>Load</a:t>
                </a:r>
                <a:r>
                  <a:rPr lang="pt-BR" sz="1200" baseline="0">
                    <a:solidFill>
                      <a:schemeClr val="tx1"/>
                    </a:solidFill>
                    <a:latin typeface="Arial Black" panose="020B0A04020102020204" pitchFamily="34" charset="0"/>
                  </a:rPr>
                  <a:t>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673723295"/>
        <c:crosses val="autoZero"/>
        <c:auto val="1"/>
        <c:lblAlgn val="ctr"/>
        <c:lblOffset val="100"/>
        <c:noMultiLvlLbl val="0"/>
      </c:catAx>
      <c:valAx>
        <c:axId val="1673723295"/>
        <c:scaling>
          <c:orientation val="minMax"/>
          <c:max val="4.000000000000001E-3"/>
          <c:min val="0"/>
        </c:scaling>
        <c:delete val="0"/>
        <c:axPos val="l"/>
        <c:majorGridlines>
          <c:spPr>
            <a:ln w="25400" cap="flat" cmpd="sng" algn="ctr">
              <a:solidFill>
                <a:schemeClr val="bg2">
                  <a:lumMod val="9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r>
                  <a:rPr lang="pt-BR" sz="1200" b="0" i="0" u="none" strike="noStrike" kern="1200" baseline="0">
                    <a:solidFill>
                      <a:schemeClr val="tx1"/>
                    </a:solidFill>
                    <a:latin typeface="Arial Black" panose="020B0A04020102020204" pitchFamily="34" charset="0"/>
                  </a:rPr>
                  <a:t>Erro Padrão (%)</a:t>
                </a:r>
              </a:p>
            </c:rich>
          </c:tx>
          <c:layout>
            <c:manualLayout>
              <c:xMode val="edge"/>
              <c:yMode val="edge"/>
              <c:x val="2.9946601629389526E-2"/>
              <c:y val="0.201908491013379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#,##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673719455"/>
        <c:crosses val="autoZero"/>
        <c:crossBetween val="between"/>
        <c:majorUnit val="1.0000000000000002E-3"/>
        <c:minorUnit val="2.0000000000000006E-4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9914440841953582"/>
          <c:y val="1.8677777716295654E-2"/>
          <c:w val="0.56752220258182007"/>
          <c:h val="0.14993655349731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4"/>
          <c:order val="4"/>
          <c:tx>
            <c:strRef>
              <c:f>Analise_Medias!$BE$60</c:f>
              <c:strCache>
                <c:ptCount val="1"/>
                <c:pt idx="0">
                  <c:v>Rendimento - Lim 0.014 p.p.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Analise_Medias!$AZ$61:$AZ$63</c:f>
              <c:numCache>
                <c:formatCode>0%</c:formatCode>
                <c:ptCount val="3"/>
                <c:pt idx="0">
                  <c:v>1</c:v>
                </c:pt>
                <c:pt idx="1">
                  <c:v>0.75</c:v>
                </c:pt>
                <c:pt idx="2">
                  <c:v>0.5</c:v>
                </c:pt>
              </c:numCache>
            </c:numRef>
          </c:cat>
          <c:val>
            <c:numRef>
              <c:f>Analise_Medias!$BE$61:$BE$63</c:f>
              <c:numCache>
                <c:formatCode>0.0000</c:formatCode>
                <c:ptCount val="3"/>
                <c:pt idx="0">
                  <c:v>5.831528016181786E-4</c:v>
                </c:pt>
                <c:pt idx="1">
                  <c:v>7.3269505259881073E-4</c:v>
                </c:pt>
                <c:pt idx="2">
                  <c:v>2.0138134511737626E-3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EB-4703-BEA5-78523748F034}"/>
            </c:ext>
          </c:extLst>
        </c:ser>
        <c:ser>
          <c:idx val="5"/>
          <c:order val="5"/>
          <c:tx>
            <c:strRef>
              <c:f>Analise_Medias!$BF$60</c:f>
              <c:strCache>
                <c:ptCount val="1"/>
                <c:pt idx="0">
                  <c:v>Fator de Potência - Lim 0.027 p.p.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Analise_Medias!$AZ$61:$AZ$63</c:f>
              <c:numCache>
                <c:formatCode>0%</c:formatCode>
                <c:ptCount val="3"/>
                <c:pt idx="0">
                  <c:v>1</c:v>
                </c:pt>
                <c:pt idx="1">
                  <c:v>0.75</c:v>
                </c:pt>
                <c:pt idx="2">
                  <c:v>0.5</c:v>
                </c:pt>
              </c:numCache>
            </c:numRef>
          </c:cat>
          <c:val>
            <c:numRef>
              <c:f>Analise_Medias!$BF$61:$BF$63</c:f>
              <c:numCache>
                <c:formatCode>0.0000</c:formatCode>
                <c:ptCount val="3"/>
                <c:pt idx="0">
                  <c:v>2.2998794091828524E-3</c:v>
                </c:pt>
                <c:pt idx="1">
                  <c:v>2.7155870138117046E-3</c:v>
                </c:pt>
                <c:pt idx="2">
                  <c:v>3.7682786922332311E-3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EB-4703-BEA5-78523748F0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3719455"/>
        <c:axId val="167372329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Analise_Medias!$BA$60</c15:sqref>
                        </c15:formulaRef>
                      </c:ext>
                    </c:extLst>
                    <c:strCache>
                      <c:ptCount val="1"/>
                      <c:pt idx="0">
                        <c:v>Potência Elétrica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Analise_Medias!$AZ$61:$AZ$63</c15:sqref>
                        </c15:formulaRef>
                      </c:ext>
                    </c:extLst>
                    <c:numCache>
                      <c:formatCode>0%</c:formatCode>
                      <c:ptCount val="3"/>
                      <c:pt idx="0">
                        <c:v>1</c:v>
                      </c:pt>
                      <c:pt idx="1">
                        <c:v>0.75</c:v>
                      </c:pt>
                      <c:pt idx="2">
                        <c:v>0.5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Analise_Medias!$BA$61:$BA$63</c15:sqref>
                        </c15:formulaRef>
                      </c:ext>
                    </c:extLst>
                    <c:numCache>
                      <c:formatCode>0.0000</c:formatCode>
                      <c:ptCount val="3"/>
                      <c:pt idx="0">
                        <c:v>6.4408662611736403E-2</c:v>
                      </c:pt>
                      <c:pt idx="1">
                        <c:v>0.7603517271258049</c:v>
                      </c:pt>
                      <c:pt idx="2">
                        <c:v>1.1313457752291156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87EB-4703-BEA5-78523748F034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Analise_Medias!$BB$60</c15:sqref>
                        </c15:formulaRef>
                      </c:ext>
                    </c:extLst>
                    <c:strCache>
                      <c:ptCount val="1"/>
                      <c:pt idx="0">
                        <c:v>Corrente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Analise_Medias!$AZ$61:$AZ$63</c15:sqref>
                        </c15:formulaRef>
                      </c:ext>
                    </c:extLst>
                    <c:numCache>
                      <c:formatCode>0%</c:formatCode>
                      <c:ptCount val="3"/>
                      <c:pt idx="0">
                        <c:v>1</c:v>
                      </c:pt>
                      <c:pt idx="1">
                        <c:v>0.75</c:v>
                      </c:pt>
                      <c:pt idx="2">
                        <c:v>0.5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Analise_Medias!$BB$61:$BB$63</c15:sqref>
                        </c15:formulaRef>
                      </c:ext>
                    </c:extLst>
                    <c:numCache>
                      <c:formatCode>0.0000</c:formatCode>
                      <c:ptCount val="3"/>
                      <c:pt idx="0">
                        <c:v>0.46871196709107432</c:v>
                      </c:pt>
                      <c:pt idx="1">
                        <c:v>6.9251584794155982E-2</c:v>
                      </c:pt>
                      <c:pt idx="2">
                        <c:v>1.3058050160558221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7EB-4703-BEA5-78523748F03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Analise_Medias!$BC$60</c15:sqref>
                        </c15:formulaRef>
                      </c:ext>
                    </c:extLst>
                    <c:strCache>
                      <c:ptCount val="1"/>
                      <c:pt idx="0">
                        <c:v>Potência Reativa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Analise_Medias!$AZ$61:$AZ$63</c15:sqref>
                        </c15:formulaRef>
                      </c:ext>
                    </c:extLst>
                    <c:numCache>
                      <c:formatCode>0%</c:formatCode>
                      <c:ptCount val="3"/>
                      <c:pt idx="0">
                        <c:v>1</c:v>
                      </c:pt>
                      <c:pt idx="1">
                        <c:v>0.75</c:v>
                      </c:pt>
                      <c:pt idx="2">
                        <c:v>0.5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Analise_Medias!$BC$61:$BC$63</c15:sqref>
                        </c15:formulaRef>
                      </c:ext>
                    </c:extLst>
                    <c:numCache>
                      <c:formatCode>0.0000</c:formatCode>
                      <c:ptCount val="3"/>
                      <c:pt idx="0">
                        <c:v>0.99451956182661116</c:v>
                      </c:pt>
                      <c:pt idx="1">
                        <c:v>1.5989925570582004</c:v>
                      </c:pt>
                      <c:pt idx="2">
                        <c:v>0.16002756255906206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7EB-4703-BEA5-78523748F034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Analise_Medias!$BD$60</c15:sqref>
                        </c15:formulaRef>
                      </c:ext>
                    </c:extLst>
                    <c:strCache>
                      <c:ptCount val="1"/>
                      <c:pt idx="0">
                        <c:v>Perdas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Analise_Medias!$AZ$61:$AZ$63</c15:sqref>
                        </c15:formulaRef>
                      </c:ext>
                    </c:extLst>
                    <c:numCache>
                      <c:formatCode>0%</c:formatCode>
                      <c:ptCount val="3"/>
                      <c:pt idx="0">
                        <c:v>1</c:v>
                      </c:pt>
                      <c:pt idx="1">
                        <c:v>0.75</c:v>
                      </c:pt>
                      <c:pt idx="2">
                        <c:v>0.5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Analise_Medias!$BD$61:$BD$63</c15:sqref>
                        </c15:formulaRef>
                      </c:ext>
                    </c:extLst>
                    <c:numCache>
                      <c:formatCode>0.0000</c:formatCode>
                      <c:ptCount val="3"/>
                      <c:pt idx="0">
                        <c:v>0.6851985384226269</c:v>
                      </c:pt>
                      <c:pt idx="1">
                        <c:v>1.550702742346576</c:v>
                      </c:pt>
                      <c:pt idx="2">
                        <c:v>0.96449681835630874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7EB-4703-BEA5-78523748F034}"/>
                  </c:ext>
                </c:extLst>
              </c15:ser>
            </c15:filteredBarSeries>
          </c:ext>
        </c:extLst>
      </c:barChart>
      <c:catAx>
        <c:axId val="16737194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r>
                  <a:rPr lang="pt-BR" sz="1200">
                    <a:solidFill>
                      <a:schemeClr val="tx1"/>
                    </a:solidFill>
                    <a:latin typeface="Arial Black" panose="020B0A04020102020204" pitchFamily="34" charset="0"/>
                  </a:rPr>
                  <a:t>Load</a:t>
                </a:r>
                <a:r>
                  <a:rPr lang="pt-BR" sz="1200" baseline="0">
                    <a:solidFill>
                      <a:schemeClr val="tx1"/>
                    </a:solidFill>
                    <a:latin typeface="Arial Black" panose="020B0A04020102020204" pitchFamily="34" charset="0"/>
                  </a:rPr>
                  <a:t>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673723295"/>
        <c:crosses val="autoZero"/>
        <c:auto val="1"/>
        <c:lblAlgn val="ctr"/>
        <c:lblOffset val="100"/>
        <c:noMultiLvlLbl val="0"/>
      </c:catAx>
      <c:valAx>
        <c:axId val="1673723295"/>
        <c:scaling>
          <c:orientation val="minMax"/>
          <c:max val="4.000000000000001E-3"/>
          <c:min val="0"/>
        </c:scaling>
        <c:delete val="0"/>
        <c:axPos val="l"/>
        <c:majorGridlines>
          <c:spPr>
            <a:ln w="25400" cap="flat" cmpd="sng" algn="ctr">
              <a:solidFill>
                <a:schemeClr val="bg2">
                  <a:lumMod val="9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r>
                  <a:rPr lang="pt-BR" sz="1200" b="0" i="0" u="none" strike="noStrike" kern="1200" baseline="0">
                    <a:solidFill>
                      <a:schemeClr val="tx1"/>
                    </a:solidFill>
                    <a:latin typeface="Arial Black" panose="020B0A04020102020204" pitchFamily="34" charset="0"/>
                  </a:rPr>
                  <a:t>Erro Padrão (%)</a:t>
                </a:r>
              </a:p>
            </c:rich>
          </c:tx>
          <c:layout>
            <c:manualLayout>
              <c:xMode val="edge"/>
              <c:yMode val="edge"/>
              <c:x val="2.1768677935079511E-2"/>
              <c:y val="0.220622754956860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#,##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673719455"/>
        <c:crosses val="autoZero"/>
        <c:crossBetween val="between"/>
        <c:majorUnit val="1.0000000000000002E-3"/>
        <c:minorUnit val="2.0000000000000006E-4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9914440841953582"/>
          <c:y val="1.8677777716295654E-2"/>
          <c:w val="0.56752220258182007"/>
          <c:h val="0.14993655349731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4"/>
          <c:order val="4"/>
          <c:tx>
            <c:strRef>
              <c:f>Analise_Medias!$CA$60</c:f>
              <c:strCache>
                <c:ptCount val="1"/>
                <c:pt idx="0">
                  <c:v>Rendimento - Lim 0.012 p.p.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Analise_Medias!$BV$61:$BV$63</c:f>
              <c:numCache>
                <c:formatCode>0%</c:formatCode>
                <c:ptCount val="3"/>
                <c:pt idx="0">
                  <c:v>1</c:v>
                </c:pt>
                <c:pt idx="1">
                  <c:v>0.75</c:v>
                </c:pt>
                <c:pt idx="2">
                  <c:v>0.5</c:v>
                </c:pt>
              </c:numCache>
            </c:numRef>
          </c:cat>
          <c:val>
            <c:numRef>
              <c:f>Analise_Medias!$CA$61:$CA$63</c:f>
              <c:numCache>
                <c:formatCode>0.0000</c:formatCode>
                <c:ptCount val="3"/>
                <c:pt idx="0">
                  <c:v>2.912151201625379E-4</c:v>
                </c:pt>
                <c:pt idx="1">
                  <c:v>1.9523507127199303E-5</c:v>
                </c:pt>
                <c:pt idx="2">
                  <c:v>9.1263575915187186E-4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66-4798-93A5-5515C840BF11}"/>
            </c:ext>
          </c:extLst>
        </c:ser>
        <c:ser>
          <c:idx val="5"/>
          <c:order val="5"/>
          <c:tx>
            <c:strRef>
              <c:f>Analise_Medias!$CB$60</c:f>
              <c:strCache>
                <c:ptCount val="1"/>
                <c:pt idx="0">
                  <c:v>F ator de Potência- Lim 0.030 p.p.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Analise_Medias!$BV$61:$BV$63</c:f>
              <c:numCache>
                <c:formatCode>0%</c:formatCode>
                <c:ptCount val="3"/>
                <c:pt idx="0">
                  <c:v>1</c:v>
                </c:pt>
                <c:pt idx="1">
                  <c:v>0.75</c:v>
                </c:pt>
                <c:pt idx="2">
                  <c:v>0.5</c:v>
                </c:pt>
              </c:numCache>
            </c:numRef>
          </c:cat>
          <c:val>
            <c:numRef>
              <c:f>Analise_Medias!$CB$61:$CB$63</c:f>
              <c:numCache>
                <c:formatCode>0.0000</c:formatCode>
                <c:ptCount val="3"/>
                <c:pt idx="0">
                  <c:v>1.5665932257478855E-3</c:v>
                </c:pt>
                <c:pt idx="1">
                  <c:v>5.4055127628596595E-3</c:v>
                </c:pt>
                <c:pt idx="2">
                  <c:v>8.7539893919115486E-4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66-4798-93A5-5515C840BF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3719455"/>
        <c:axId val="167372329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Analise_Medias!$BW$60</c15:sqref>
                        </c15:formulaRef>
                      </c:ext>
                    </c:extLst>
                    <c:strCache>
                      <c:ptCount val="1"/>
                      <c:pt idx="0">
                        <c:v>Potência Elétrica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Analise_Medias!$BV$61:$BV$63</c15:sqref>
                        </c15:formulaRef>
                      </c:ext>
                    </c:extLst>
                    <c:numCache>
                      <c:formatCode>0%</c:formatCode>
                      <c:ptCount val="3"/>
                      <c:pt idx="0">
                        <c:v>1</c:v>
                      </c:pt>
                      <c:pt idx="1">
                        <c:v>0.75</c:v>
                      </c:pt>
                      <c:pt idx="2">
                        <c:v>0.5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Analise_Medias!$BW$61:$BW$63</c15:sqref>
                        </c15:formulaRef>
                      </c:ext>
                    </c:extLst>
                    <c:numCache>
                      <c:formatCode>0.0000</c:formatCode>
                      <c:ptCount val="3"/>
                      <c:pt idx="0">
                        <c:v>3.1708054698461025E-2</c:v>
                      </c:pt>
                      <c:pt idx="1">
                        <c:v>0.42130608621378796</c:v>
                      </c:pt>
                      <c:pt idx="2">
                        <c:v>0.74513000622539816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B166-4798-93A5-5515C840BF11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Analise_Medias!$BX$60</c15:sqref>
                        </c15:formulaRef>
                      </c:ext>
                    </c:extLst>
                    <c:strCache>
                      <c:ptCount val="1"/>
                      <c:pt idx="0">
                        <c:v>Corrente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Analise_Medias!$BV$61:$BV$63</c15:sqref>
                        </c15:formulaRef>
                      </c:ext>
                    </c:extLst>
                    <c:numCache>
                      <c:formatCode>0%</c:formatCode>
                      <c:ptCount val="3"/>
                      <c:pt idx="0">
                        <c:v>1</c:v>
                      </c:pt>
                      <c:pt idx="1">
                        <c:v>0.75</c:v>
                      </c:pt>
                      <c:pt idx="2">
                        <c:v>0.5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Analise_Medias!$BX$61:$BX$63</c15:sqref>
                        </c15:formulaRef>
                      </c:ext>
                    </c:extLst>
                    <c:numCache>
                      <c:formatCode>0.0000</c:formatCode>
                      <c:ptCount val="3"/>
                      <c:pt idx="0">
                        <c:v>0.91489866644652562</c:v>
                      </c:pt>
                      <c:pt idx="1">
                        <c:v>0.84202833638755858</c:v>
                      </c:pt>
                      <c:pt idx="2">
                        <c:v>0.20731605012714002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166-4798-93A5-5515C840BF11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Analise_Medias!$BY$60</c15:sqref>
                        </c15:formulaRef>
                      </c:ext>
                    </c:extLst>
                    <c:strCache>
                      <c:ptCount val="1"/>
                      <c:pt idx="0">
                        <c:v>Potência Reativa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Analise_Medias!$BV$61:$BV$63</c15:sqref>
                        </c15:formulaRef>
                      </c:ext>
                    </c:extLst>
                    <c:numCache>
                      <c:formatCode>0%</c:formatCode>
                      <c:ptCount val="3"/>
                      <c:pt idx="0">
                        <c:v>1</c:v>
                      </c:pt>
                      <c:pt idx="1">
                        <c:v>0.75</c:v>
                      </c:pt>
                      <c:pt idx="2">
                        <c:v>0.5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Analise_Medias!$BY$61:$BY$63</c15:sqref>
                        </c15:formulaRef>
                      </c:ext>
                    </c:extLst>
                    <c:numCache>
                      <c:formatCode>0.0000</c:formatCode>
                      <c:ptCount val="3"/>
                      <c:pt idx="0">
                        <c:v>0.55171624488197313</c:v>
                      </c:pt>
                      <c:pt idx="1">
                        <c:v>1.2612864587999946</c:v>
                      </c:pt>
                      <c:pt idx="2">
                        <c:v>0.88668720252318411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166-4798-93A5-5515C840BF11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Analise_Medias!$BZ$60</c15:sqref>
                        </c15:formulaRef>
                      </c:ext>
                    </c:extLst>
                    <c:strCache>
                      <c:ptCount val="1"/>
                      <c:pt idx="0">
                        <c:v>Perdas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Analise_Medias!$BV$61:$BV$63</c15:sqref>
                        </c15:formulaRef>
                      </c:ext>
                    </c:extLst>
                    <c:numCache>
                      <c:formatCode>0%</c:formatCode>
                      <c:ptCount val="3"/>
                      <c:pt idx="0">
                        <c:v>1</c:v>
                      </c:pt>
                      <c:pt idx="1">
                        <c:v>0.75</c:v>
                      </c:pt>
                      <c:pt idx="2">
                        <c:v>0.5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Analise_Medias!$BZ$61:$BZ$63</c15:sqref>
                        </c15:formulaRef>
                      </c:ext>
                    </c:extLst>
                    <c:numCache>
                      <c:formatCode>0.0000</c:formatCode>
                      <c:ptCount val="3"/>
                      <c:pt idx="0">
                        <c:v>0.39145746541309273</c:v>
                      </c:pt>
                      <c:pt idx="1">
                        <c:v>0.41438328474331115</c:v>
                      </c:pt>
                      <c:pt idx="2">
                        <c:v>0.28910754931683291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166-4798-93A5-5515C840BF11}"/>
                  </c:ext>
                </c:extLst>
              </c15:ser>
            </c15:filteredBarSeries>
          </c:ext>
        </c:extLst>
      </c:barChart>
      <c:catAx>
        <c:axId val="16737194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r>
                  <a:rPr lang="pt-BR" sz="1200">
                    <a:solidFill>
                      <a:schemeClr val="tx1"/>
                    </a:solidFill>
                    <a:latin typeface="Arial Black" panose="020B0A04020102020204" pitchFamily="34" charset="0"/>
                  </a:rPr>
                  <a:t>Load</a:t>
                </a:r>
                <a:r>
                  <a:rPr lang="pt-BR" sz="1200" baseline="0">
                    <a:solidFill>
                      <a:schemeClr val="tx1"/>
                    </a:solidFill>
                    <a:latin typeface="Arial Black" panose="020B0A04020102020204" pitchFamily="34" charset="0"/>
                  </a:rPr>
                  <a:t>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673723295"/>
        <c:crosses val="autoZero"/>
        <c:auto val="1"/>
        <c:lblAlgn val="ctr"/>
        <c:lblOffset val="100"/>
        <c:noMultiLvlLbl val="0"/>
      </c:catAx>
      <c:valAx>
        <c:axId val="1673723295"/>
        <c:scaling>
          <c:orientation val="minMax"/>
          <c:max val="6.0000000000000019E-3"/>
          <c:min val="0"/>
        </c:scaling>
        <c:delete val="0"/>
        <c:axPos val="l"/>
        <c:majorGridlines>
          <c:spPr>
            <a:ln w="25400" cap="flat" cmpd="sng" algn="ctr">
              <a:solidFill>
                <a:schemeClr val="bg2">
                  <a:lumMod val="9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r>
                  <a:rPr lang="pt-BR" sz="1200" b="0" i="0" u="none" strike="noStrike" kern="1200" baseline="0">
                    <a:solidFill>
                      <a:schemeClr val="tx1"/>
                    </a:solidFill>
                    <a:latin typeface="Arial Black" panose="020B0A04020102020204" pitchFamily="34" charset="0"/>
                  </a:rPr>
                  <a:t>Erro Padrão (%)</a:t>
                </a:r>
              </a:p>
            </c:rich>
          </c:tx>
          <c:layout>
            <c:manualLayout>
              <c:xMode val="edge"/>
              <c:yMode val="edge"/>
              <c:x val="2.9931952602921526E-2"/>
              <c:y val="0.216119548119333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#,##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673719455"/>
        <c:crosses val="autoZero"/>
        <c:crossBetween val="between"/>
        <c:majorUnit val="1.5000000000000005E-3"/>
        <c:minorUnit val="2.0000000000000006E-4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9914440841953582"/>
          <c:y val="1.8677777716295654E-2"/>
          <c:w val="0.56752220258182007"/>
          <c:h val="0.14993655349731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4"/>
          <c:order val="4"/>
          <c:tx>
            <c:strRef>
              <c:f>Analise_Medias!$CX$60</c:f>
              <c:strCache>
                <c:ptCount val="1"/>
                <c:pt idx="0">
                  <c:v>Rendimento  - Lim 0.012 p.p.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Analise_Medias!$CS$61:$CS$63</c:f>
              <c:numCache>
                <c:formatCode>0%</c:formatCode>
                <c:ptCount val="3"/>
                <c:pt idx="0">
                  <c:v>1</c:v>
                </c:pt>
                <c:pt idx="1">
                  <c:v>0.75</c:v>
                </c:pt>
                <c:pt idx="2">
                  <c:v>0.5</c:v>
                </c:pt>
              </c:numCache>
            </c:numRef>
          </c:cat>
          <c:val>
            <c:numRef>
              <c:f>Analise_Medias!$CX$61:$CX$63</c:f>
              <c:numCache>
                <c:formatCode>0.0000</c:formatCode>
                <c:ptCount val="3"/>
                <c:pt idx="0">
                  <c:v>3.6273413989186044E-4</c:v>
                </c:pt>
                <c:pt idx="1">
                  <c:v>2.2534075473430672E-4</c:v>
                </c:pt>
                <c:pt idx="2">
                  <c:v>1.1997010933954932E-3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D7-4D42-8404-95B901600E3E}"/>
            </c:ext>
          </c:extLst>
        </c:ser>
        <c:ser>
          <c:idx val="5"/>
          <c:order val="5"/>
          <c:tx>
            <c:strRef>
              <c:f>Analise_Medias!$CY$60</c:f>
              <c:strCache>
                <c:ptCount val="1"/>
                <c:pt idx="0">
                  <c:v>Fator de Potência - Lim 0.027 p.p.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Analise_Medias!$CS$61:$CS$63</c:f>
              <c:numCache>
                <c:formatCode>0%</c:formatCode>
                <c:ptCount val="3"/>
                <c:pt idx="0">
                  <c:v>1</c:v>
                </c:pt>
                <c:pt idx="1">
                  <c:v>0.75</c:v>
                </c:pt>
                <c:pt idx="2">
                  <c:v>0.5</c:v>
                </c:pt>
              </c:numCache>
            </c:numRef>
          </c:cat>
          <c:val>
            <c:numRef>
              <c:f>Analise_Medias!$CY$61:$CY$63</c:f>
              <c:numCache>
                <c:formatCode>0.0000</c:formatCode>
                <c:ptCount val="3"/>
                <c:pt idx="0">
                  <c:v>1.6508186387488388E-3</c:v>
                </c:pt>
                <c:pt idx="1">
                  <c:v>1.5387583128228192E-3</c:v>
                </c:pt>
                <c:pt idx="2">
                  <c:v>3.5260608996305945E-3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D7-4D42-8404-95B901600E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3719455"/>
        <c:axId val="167372329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Analise_Medias!$CT$60</c15:sqref>
                        </c15:formulaRef>
                      </c:ext>
                    </c:extLst>
                    <c:strCache>
                      <c:ptCount val="1"/>
                      <c:pt idx="0">
                        <c:v>Potência Elétrica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Analise_Medias!$CS$61:$CS$63</c15:sqref>
                        </c15:formulaRef>
                      </c:ext>
                    </c:extLst>
                    <c:numCache>
                      <c:formatCode>0%</c:formatCode>
                      <c:ptCount val="3"/>
                      <c:pt idx="0">
                        <c:v>1</c:v>
                      </c:pt>
                      <c:pt idx="1">
                        <c:v>0.75</c:v>
                      </c:pt>
                      <c:pt idx="2">
                        <c:v>0.5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Analise_Medias!$CT$61:$CT$63</c15:sqref>
                        </c15:formulaRef>
                      </c:ext>
                    </c:extLst>
                    <c:numCache>
                      <c:formatCode>0.0000</c:formatCode>
                      <c:ptCount val="3"/>
                      <c:pt idx="0">
                        <c:v>3.9357646170008934E-2</c:v>
                      </c:pt>
                      <c:pt idx="1">
                        <c:v>0.61793411404093457</c:v>
                      </c:pt>
                      <c:pt idx="2">
                        <c:v>1.0518270428547796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46D7-4D42-8404-95B901600E3E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Analise_Medias!$CU$60</c15:sqref>
                        </c15:formulaRef>
                      </c:ext>
                    </c:extLst>
                    <c:strCache>
                      <c:ptCount val="1"/>
                      <c:pt idx="0">
                        <c:v>Corrente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Analise_Medias!$CS$61:$CS$63</c15:sqref>
                        </c15:formulaRef>
                      </c:ext>
                    </c:extLst>
                    <c:numCache>
                      <c:formatCode>0%</c:formatCode>
                      <c:ptCount val="3"/>
                      <c:pt idx="0">
                        <c:v>1</c:v>
                      </c:pt>
                      <c:pt idx="1">
                        <c:v>0.75</c:v>
                      </c:pt>
                      <c:pt idx="2">
                        <c:v>0.5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Analise_Medias!$CU$61:$CU$63</c15:sqref>
                        </c15:formulaRef>
                      </c:ext>
                    </c:extLst>
                    <c:numCache>
                      <c:formatCode>0.0000</c:formatCode>
                      <c:ptCount val="3"/>
                      <c:pt idx="0">
                        <c:v>0.90964092718683387</c:v>
                      </c:pt>
                      <c:pt idx="1">
                        <c:v>8.3864507332286925E-2</c:v>
                      </c:pt>
                      <c:pt idx="2">
                        <c:v>1.334607910738141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6D7-4D42-8404-95B901600E3E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Analise_Medias!$CV$60</c15:sqref>
                        </c15:formulaRef>
                      </c:ext>
                    </c:extLst>
                    <c:strCache>
                      <c:ptCount val="1"/>
                      <c:pt idx="0">
                        <c:v>Potência Reativa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Analise_Medias!$CS$61:$CS$63</c15:sqref>
                        </c15:formulaRef>
                      </c:ext>
                    </c:extLst>
                    <c:numCache>
                      <c:formatCode>0%</c:formatCode>
                      <c:ptCount val="3"/>
                      <c:pt idx="0">
                        <c:v>1</c:v>
                      </c:pt>
                      <c:pt idx="1">
                        <c:v>0.75</c:v>
                      </c:pt>
                      <c:pt idx="2">
                        <c:v>0.5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Analise_Medias!$CV$61:$CV$63</c15:sqref>
                        </c15:formulaRef>
                      </c:ext>
                    </c:extLst>
                    <c:numCache>
                      <c:formatCode>0.0000</c:formatCode>
                      <c:ptCount val="3"/>
                      <c:pt idx="0">
                        <c:v>0.70691420156780427</c:v>
                      </c:pt>
                      <c:pt idx="1">
                        <c:v>1.1182206771664382</c:v>
                      </c:pt>
                      <c:pt idx="2">
                        <c:v>0.10318620524469503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6D7-4D42-8404-95B901600E3E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Analise_Medias!$CW$60</c15:sqref>
                        </c15:formulaRef>
                      </c:ext>
                    </c:extLst>
                    <c:strCache>
                      <c:ptCount val="1"/>
                      <c:pt idx="0">
                        <c:v>Perdas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Analise_Medias!$CS$61:$CS$63</c15:sqref>
                        </c15:formulaRef>
                      </c:ext>
                    </c:extLst>
                    <c:numCache>
                      <c:formatCode>0%</c:formatCode>
                      <c:ptCount val="3"/>
                      <c:pt idx="0">
                        <c:v>1</c:v>
                      </c:pt>
                      <c:pt idx="1">
                        <c:v>0.75</c:v>
                      </c:pt>
                      <c:pt idx="2">
                        <c:v>0.5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Analise_Medias!$CW$61:$CW$63</c15:sqref>
                        </c15:formulaRef>
                      </c:ext>
                    </c:extLst>
                    <c:numCache>
                      <c:formatCode>0.0000</c:formatCode>
                      <c:ptCount val="3"/>
                      <c:pt idx="0">
                        <c:v>0.50458520730781098</c:v>
                      </c:pt>
                      <c:pt idx="1">
                        <c:v>0.91653175520780295</c:v>
                      </c:pt>
                      <c:pt idx="2">
                        <c:v>0.48983954769066917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6D7-4D42-8404-95B901600E3E}"/>
                  </c:ext>
                </c:extLst>
              </c15:ser>
            </c15:filteredBarSeries>
          </c:ext>
        </c:extLst>
      </c:barChart>
      <c:catAx>
        <c:axId val="16737194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r>
                  <a:rPr lang="pt-BR" sz="1200">
                    <a:solidFill>
                      <a:schemeClr val="tx1"/>
                    </a:solidFill>
                    <a:latin typeface="Arial Black" panose="020B0A04020102020204" pitchFamily="34" charset="0"/>
                  </a:rPr>
                  <a:t>Load</a:t>
                </a:r>
                <a:r>
                  <a:rPr lang="pt-BR" sz="1200" baseline="0">
                    <a:solidFill>
                      <a:schemeClr val="tx1"/>
                    </a:solidFill>
                    <a:latin typeface="Arial Black" panose="020B0A04020102020204" pitchFamily="34" charset="0"/>
                  </a:rPr>
                  <a:t>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673723295"/>
        <c:crosses val="autoZero"/>
        <c:auto val="1"/>
        <c:lblAlgn val="ctr"/>
        <c:lblOffset val="100"/>
        <c:noMultiLvlLbl val="0"/>
      </c:catAx>
      <c:valAx>
        <c:axId val="1673723295"/>
        <c:scaling>
          <c:orientation val="minMax"/>
          <c:max val="4.000000000000001E-3"/>
          <c:min val="0"/>
        </c:scaling>
        <c:delete val="0"/>
        <c:axPos val="l"/>
        <c:majorGridlines>
          <c:spPr>
            <a:ln w="25400" cap="flat" cmpd="sng" algn="ctr">
              <a:solidFill>
                <a:schemeClr val="bg2">
                  <a:lumMod val="9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r>
                  <a:rPr lang="pt-BR" sz="1200" b="0" i="0" u="none" strike="noStrike" kern="1200" baseline="0">
                    <a:solidFill>
                      <a:schemeClr val="tx1"/>
                    </a:solidFill>
                    <a:latin typeface="Arial Black" panose="020B0A04020102020204" pitchFamily="34" charset="0"/>
                  </a:rPr>
                  <a:t>Erro Padrão (%)</a:t>
                </a:r>
              </a:p>
            </c:rich>
          </c:tx>
          <c:layout>
            <c:manualLayout>
              <c:xMode val="edge"/>
              <c:yMode val="edge"/>
              <c:x val="2.9932016694634481E-2"/>
              <c:y val="0.201050728646747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#,##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673719455"/>
        <c:crosses val="autoZero"/>
        <c:crossBetween val="between"/>
        <c:majorUnit val="1.0000000000000002E-3"/>
        <c:minorUnit val="2.0000000000000006E-4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9914440841953582"/>
          <c:y val="1.8677777716295654E-2"/>
          <c:w val="0.56752220258182007"/>
          <c:h val="0.14993655349731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Analise_Variancia!$G$60</c:f>
              <c:strCache>
                <c:ptCount val="1"/>
                <c:pt idx="0">
                  <c:v>Potência Elétrica</c:v>
                </c:pt>
              </c:strCache>
            </c:strRef>
          </c:tx>
          <c:spPr>
            <a:pattFill prst="pct40">
              <a:fgClr>
                <a:schemeClr val="tx1">
                  <a:lumMod val="95000"/>
                  <a:lumOff val="5000"/>
                </a:schemeClr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numRef>
              <c:f>Analise_Variancia!$F$61:$F$63</c:f>
              <c:numCache>
                <c:formatCode>0%</c:formatCode>
                <c:ptCount val="3"/>
                <c:pt idx="0">
                  <c:v>1</c:v>
                </c:pt>
                <c:pt idx="1">
                  <c:v>0.75</c:v>
                </c:pt>
                <c:pt idx="2">
                  <c:v>0.5</c:v>
                </c:pt>
              </c:numCache>
            </c:numRef>
          </c:cat>
          <c:val>
            <c:numRef>
              <c:f>Analise_Variancia!$G$61:$G$63</c:f>
              <c:numCache>
                <c:formatCode>0.0000</c:formatCode>
                <c:ptCount val="3"/>
                <c:pt idx="0">
                  <c:v>1.4207820500113869E-3</c:v>
                </c:pt>
                <c:pt idx="1">
                  <c:v>3.9038302896205932E-4</c:v>
                </c:pt>
                <c:pt idx="2">
                  <c:v>1.6406137010859072E-3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2A-4CCA-B39F-E9031C7B9687}"/>
            </c:ext>
          </c:extLst>
        </c:ser>
        <c:ser>
          <c:idx val="1"/>
          <c:order val="1"/>
          <c:tx>
            <c:strRef>
              <c:f>Analise_Variancia!$H$60</c:f>
              <c:strCache>
                <c:ptCount val="1"/>
                <c:pt idx="0">
                  <c:v>Corrente</c:v>
                </c:pt>
              </c:strCache>
            </c:strRef>
          </c:tx>
          <c:spPr>
            <a:pattFill prst="wdDnDiag">
              <a:fgClr>
                <a:schemeClr val="tx1">
                  <a:lumMod val="95000"/>
                  <a:lumOff val="5000"/>
                </a:schemeClr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numRef>
              <c:f>Analise_Variancia!$F$61:$F$63</c:f>
              <c:numCache>
                <c:formatCode>0%</c:formatCode>
                <c:ptCount val="3"/>
                <c:pt idx="0">
                  <c:v>1</c:v>
                </c:pt>
                <c:pt idx="1">
                  <c:v>0.75</c:v>
                </c:pt>
                <c:pt idx="2">
                  <c:v>0.5</c:v>
                </c:pt>
              </c:numCache>
            </c:numRef>
          </c:cat>
          <c:val>
            <c:numRef>
              <c:f>Analise_Variancia!$H$61:$H$63</c:f>
              <c:numCache>
                <c:formatCode>0.0000</c:formatCode>
                <c:ptCount val="3"/>
                <c:pt idx="0">
                  <c:v>8.9413015617355578E-3</c:v>
                </c:pt>
                <c:pt idx="1">
                  <c:v>4.5566207561236844E-3</c:v>
                </c:pt>
                <c:pt idx="2">
                  <c:v>5.3969818666807085E-3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2A-4CCA-B39F-E9031C7B9687}"/>
            </c:ext>
          </c:extLst>
        </c:ser>
        <c:ser>
          <c:idx val="2"/>
          <c:order val="2"/>
          <c:tx>
            <c:strRef>
              <c:f>Analise_Variancia!$I$60</c:f>
              <c:strCache>
                <c:ptCount val="1"/>
                <c:pt idx="0">
                  <c:v>Potência Reativa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Analise_Variancia!$F$61:$F$63</c:f>
              <c:numCache>
                <c:formatCode>0%</c:formatCode>
                <c:ptCount val="3"/>
                <c:pt idx="0">
                  <c:v>1</c:v>
                </c:pt>
                <c:pt idx="1">
                  <c:v>0.75</c:v>
                </c:pt>
                <c:pt idx="2">
                  <c:v>0.5</c:v>
                </c:pt>
              </c:numCache>
            </c:numRef>
          </c:cat>
          <c:val>
            <c:numRef>
              <c:f>Analise_Variancia!$I$61:$I$63</c:f>
              <c:numCache>
                <c:formatCode>0.0000</c:formatCode>
                <c:ptCount val="3"/>
                <c:pt idx="0">
                  <c:v>4.6729085484585823E-3</c:v>
                </c:pt>
                <c:pt idx="1">
                  <c:v>3.3400609989723976E-3</c:v>
                </c:pt>
                <c:pt idx="2">
                  <c:v>8.641215994263084E-3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2A-4CCA-B39F-E9031C7B9687}"/>
            </c:ext>
          </c:extLst>
        </c:ser>
        <c:ser>
          <c:idx val="3"/>
          <c:order val="3"/>
          <c:tx>
            <c:strRef>
              <c:f>Analise_Variancia!$J$60</c:f>
              <c:strCache>
                <c:ptCount val="1"/>
                <c:pt idx="0">
                  <c:v>Perdas</c:v>
                </c:pt>
              </c:strCache>
            </c:strRef>
          </c:tx>
          <c:spPr>
            <a:solidFill>
              <a:schemeClr val="tx1">
                <a:lumMod val="95000"/>
                <a:lumOff val="5000"/>
              </a:schemeClr>
            </a:solidFill>
            <a:ln>
              <a:noFill/>
            </a:ln>
            <a:effectLst/>
          </c:spPr>
          <c:invertIfNegative val="0"/>
          <c:cat>
            <c:numRef>
              <c:f>Analise_Variancia!$F$61:$F$63</c:f>
              <c:numCache>
                <c:formatCode>0%</c:formatCode>
                <c:ptCount val="3"/>
                <c:pt idx="0">
                  <c:v>1</c:v>
                </c:pt>
                <c:pt idx="1">
                  <c:v>0.75</c:v>
                </c:pt>
                <c:pt idx="2">
                  <c:v>0.5</c:v>
                </c:pt>
              </c:numCache>
            </c:numRef>
          </c:cat>
          <c:val>
            <c:numRef>
              <c:f>Analise_Variancia!$J$61:$J$63</c:f>
              <c:numCache>
                <c:formatCode>0.0000</c:formatCode>
                <c:ptCount val="3"/>
                <c:pt idx="0">
                  <c:v>1.1839850416761694E-2</c:v>
                </c:pt>
                <c:pt idx="1">
                  <c:v>3.2531919080164345E-3</c:v>
                </c:pt>
                <c:pt idx="2">
                  <c:v>1.2620105392968883E-2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2A-4CCA-B39F-E9031C7B96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3719455"/>
        <c:axId val="1673723295"/>
      </c:barChart>
      <c:catAx>
        <c:axId val="16737194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r>
                  <a:rPr lang="pt-BR" sz="1200">
                    <a:solidFill>
                      <a:schemeClr val="tx1"/>
                    </a:solidFill>
                    <a:latin typeface="Arial Black" panose="020B0A04020102020204" pitchFamily="34" charset="0"/>
                  </a:rPr>
                  <a:t>Load</a:t>
                </a:r>
                <a:r>
                  <a:rPr lang="pt-BR" sz="1200" baseline="0">
                    <a:solidFill>
                      <a:schemeClr val="tx1"/>
                    </a:solidFill>
                    <a:latin typeface="Arial Black" panose="020B0A04020102020204" pitchFamily="34" charset="0"/>
                  </a:rPr>
                  <a:t>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673723295"/>
        <c:crosses val="autoZero"/>
        <c:auto val="1"/>
        <c:lblAlgn val="ctr"/>
        <c:lblOffset val="100"/>
        <c:noMultiLvlLbl val="0"/>
      </c:catAx>
      <c:valAx>
        <c:axId val="1673723295"/>
        <c:scaling>
          <c:orientation val="minMax"/>
          <c:max val="6.0000000000000012E-2"/>
          <c:min val="0"/>
        </c:scaling>
        <c:delete val="0"/>
        <c:axPos val="l"/>
        <c:majorGridlines>
          <c:spPr>
            <a:ln w="25400" cap="flat" cmpd="sng" algn="ctr">
              <a:solidFill>
                <a:schemeClr val="bg2">
                  <a:lumMod val="9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r>
                  <a:rPr lang="pt-BR" sz="1200" baseline="0">
                    <a:solidFill>
                      <a:schemeClr val="tx1"/>
                    </a:solidFill>
                    <a:latin typeface="Arial Black" panose="020B0A04020102020204" pitchFamily="34" charset="0"/>
                  </a:rPr>
                  <a:t>Erro Padrão (%)</a:t>
                </a:r>
                <a:endParaRPr lang="pt-BR" sz="1200">
                  <a:solidFill>
                    <a:schemeClr val="tx1"/>
                  </a:solidFill>
                  <a:latin typeface="Arial Black" panose="020B0A040201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2.9931972789115645E-2"/>
              <c:y val="0.139110560618124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#,##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673719455"/>
        <c:crosses val="autoZero"/>
        <c:crossBetween val="between"/>
        <c:majorUnit val="1.2000000000000002E-2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6842541557305338"/>
          <c:y val="9.3077427821522309E-3"/>
          <c:w val="0.83157452370050799"/>
          <c:h val="0.133751508594335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Analise_Variancia!$AD$60</c:f>
              <c:strCache>
                <c:ptCount val="1"/>
                <c:pt idx="0">
                  <c:v>Potência Elétrica</c:v>
                </c:pt>
              </c:strCache>
            </c:strRef>
          </c:tx>
          <c:spPr>
            <a:pattFill prst="pct40">
              <a:fgClr>
                <a:schemeClr val="tx1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numRef>
              <c:f>Analise_Variancia!$AC$61:$AC$63</c:f>
              <c:numCache>
                <c:formatCode>0%</c:formatCode>
                <c:ptCount val="3"/>
                <c:pt idx="0">
                  <c:v>1</c:v>
                </c:pt>
                <c:pt idx="1">
                  <c:v>0.75</c:v>
                </c:pt>
                <c:pt idx="2">
                  <c:v>0.5</c:v>
                </c:pt>
              </c:numCache>
            </c:numRef>
          </c:cat>
          <c:val>
            <c:numRef>
              <c:f>Analise_Variancia!$AD$61:$AD$63</c:f>
              <c:numCache>
                <c:formatCode>0.0000</c:formatCode>
                <c:ptCount val="3"/>
                <c:pt idx="0">
                  <c:v>1.1999508047287001E-3</c:v>
                </c:pt>
                <c:pt idx="1">
                  <c:v>4.2509578631286341E-4</c:v>
                </c:pt>
                <c:pt idx="2">
                  <c:v>1.4340371352638392E-3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40-4CCA-90E1-8709B3408603}"/>
            </c:ext>
          </c:extLst>
        </c:ser>
        <c:ser>
          <c:idx val="1"/>
          <c:order val="1"/>
          <c:tx>
            <c:strRef>
              <c:f>Analise_Variancia!$AE$60</c:f>
              <c:strCache>
                <c:ptCount val="1"/>
                <c:pt idx="0">
                  <c:v>Corrente</c:v>
                </c:pt>
              </c:strCache>
            </c:strRef>
          </c:tx>
          <c:spPr>
            <a:pattFill prst="wdDnDiag">
              <a:fgClr>
                <a:schemeClr val="tx1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numRef>
              <c:f>Analise_Variancia!$AC$61:$AC$63</c:f>
              <c:numCache>
                <c:formatCode>0%</c:formatCode>
                <c:ptCount val="3"/>
                <c:pt idx="0">
                  <c:v>1</c:v>
                </c:pt>
                <c:pt idx="1">
                  <c:v>0.75</c:v>
                </c:pt>
                <c:pt idx="2">
                  <c:v>0.5</c:v>
                </c:pt>
              </c:numCache>
            </c:numRef>
          </c:cat>
          <c:val>
            <c:numRef>
              <c:f>Analise_Variancia!$AE$61:$AE$63</c:f>
              <c:numCache>
                <c:formatCode>0.0000</c:formatCode>
                <c:ptCount val="3"/>
                <c:pt idx="0">
                  <c:v>8.9470847965264395E-3</c:v>
                </c:pt>
                <c:pt idx="1">
                  <c:v>3.3276251152531433E-3</c:v>
                </c:pt>
                <c:pt idx="2">
                  <c:v>9.4355629822482027E-3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40-4CCA-90E1-8709B3408603}"/>
            </c:ext>
          </c:extLst>
        </c:ser>
        <c:ser>
          <c:idx val="2"/>
          <c:order val="2"/>
          <c:tx>
            <c:strRef>
              <c:f>Analise_Variancia!$AF$60</c:f>
              <c:strCache>
                <c:ptCount val="1"/>
                <c:pt idx="0">
                  <c:v>Potência Reativa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Analise_Variancia!$AC$61:$AC$63</c:f>
              <c:numCache>
                <c:formatCode>0%</c:formatCode>
                <c:ptCount val="3"/>
                <c:pt idx="0">
                  <c:v>1</c:v>
                </c:pt>
                <c:pt idx="1">
                  <c:v>0.75</c:v>
                </c:pt>
                <c:pt idx="2">
                  <c:v>0.5</c:v>
                </c:pt>
              </c:numCache>
            </c:numRef>
          </c:cat>
          <c:val>
            <c:numRef>
              <c:f>Analise_Variancia!$AF$61:$AF$63</c:f>
              <c:numCache>
                <c:formatCode>0.0000</c:formatCode>
                <c:ptCount val="3"/>
                <c:pt idx="0">
                  <c:v>4.388776540923245E-3</c:v>
                </c:pt>
                <c:pt idx="1">
                  <c:v>3.3029803429286387E-3</c:v>
                </c:pt>
                <c:pt idx="2">
                  <c:v>7.5635192624277647E-3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40-4CCA-90E1-8709B3408603}"/>
            </c:ext>
          </c:extLst>
        </c:ser>
        <c:ser>
          <c:idx val="3"/>
          <c:order val="3"/>
          <c:tx>
            <c:strRef>
              <c:f>Analise_Variancia!$AG$60</c:f>
              <c:strCache>
                <c:ptCount val="1"/>
                <c:pt idx="0">
                  <c:v>Perdas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numRef>
              <c:f>Analise_Variancia!$AC$61:$AC$63</c:f>
              <c:numCache>
                <c:formatCode>0%</c:formatCode>
                <c:ptCount val="3"/>
                <c:pt idx="0">
                  <c:v>1</c:v>
                </c:pt>
                <c:pt idx="1">
                  <c:v>0.75</c:v>
                </c:pt>
                <c:pt idx="2">
                  <c:v>0.5</c:v>
                </c:pt>
              </c:numCache>
            </c:numRef>
          </c:cat>
          <c:val>
            <c:numRef>
              <c:f>Analise_Variancia!$AG$61:$AG$63</c:f>
              <c:numCache>
                <c:formatCode>0.0000</c:formatCode>
                <c:ptCount val="3"/>
                <c:pt idx="0">
                  <c:v>1.034440348904507E-2</c:v>
                </c:pt>
                <c:pt idx="1">
                  <c:v>3.6646188475237484E-3</c:v>
                </c:pt>
                <c:pt idx="2">
                  <c:v>6.5523983907230417E-3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40-4CCA-90E1-8709B34086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3719455"/>
        <c:axId val="1673723295"/>
      </c:barChart>
      <c:catAx>
        <c:axId val="16737194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r>
                  <a:rPr lang="pt-BR" sz="1200">
                    <a:solidFill>
                      <a:schemeClr val="tx1"/>
                    </a:solidFill>
                    <a:latin typeface="Arial Black" panose="020B0A04020102020204" pitchFamily="34" charset="0"/>
                  </a:rPr>
                  <a:t>Load</a:t>
                </a:r>
                <a:r>
                  <a:rPr lang="pt-BR" sz="1200" baseline="0">
                    <a:solidFill>
                      <a:schemeClr val="tx1"/>
                    </a:solidFill>
                    <a:latin typeface="Arial Black" panose="020B0A04020102020204" pitchFamily="34" charset="0"/>
                  </a:rPr>
                  <a:t>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673723295"/>
        <c:crosses val="autoZero"/>
        <c:auto val="1"/>
        <c:lblAlgn val="ctr"/>
        <c:lblOffset val="100"/>
        <c:noMultiLvlLbl val="0"/>
      </c:catAx>
      <c:valAx>
        <c:axId val="1673723295"/>
        <c:scaling>
          <c:orientation val="minMax"/>
          <c:max val="6.0000000000000012E-2"/>
          <c:min val="0"/>
        </c:scaling>
        <c:delete val="0"/>
        <c:axPos val="l"/>
        <c:majorGridlines>
          <c:spPr>
            <a:ln w="25400" cap="flat" cmpd="sng" algn="ctr">
              <a:solidFill>
                <a:schemeClr val="bg2">
                  <a:lumMod val="9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r>
                  <a:rPr lang="pt-BR" sz="1200" b="0" i="0" u="none" strike="noStrike" kern="1200" baseline="0">
                    <a:solidFill>
                      <a:schemeClr val="tx1"/>
                    </a:solidFill>
                    <a:latin typeface="Arial Black" panose="020B0A04020102020204" pitchFamily="34" charset="0"/>
                  </a:rPr>
                  <a:t>Erro Padrão (%)</a:t>
                </a:r>
              </a:p>
            </c:rich>
          </c:tx>
          <c:layout>
            <c:manualLayout>
              <c:xMode val="edge"/>
              <c:yMode val="edge"/>
              <c:x val="2.9931972789115645E-2"/>
              <c:y val="0.139110560618124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#,##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673719455"/>
        <c:crosses val="autoZero"/>
        <c:crossBetween val="between"/>
        <c:majorUnit val="1.2000000000000002E-2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6842541557305338"/>
          <c:y val="9.3077427821522309E-3"/>
          <c:w val="0.83157461000122324"/>
          <c:h val="0.122721826135817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Analise_Variancia!$BA$60</c:f>
              <c:strCache>
                <c:ptCount val="1"/>
                <c:pt idx="0">
                  <c:v>Potência Elétrica</c:v>
                </c:pt>
              </c:strCache>
            </c:strRef>
          </c:tx>
          <c:spPr>
            <a:pattFill prst="pct40">
              <a:fgClr>
                <a:schemeClr val="tx1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numRef>
              <c:f>Analise_Variancia!$AZ$61:$AZ$63</c:f>
              <c:numCache>
                <c:formatCode>0%</c:formatCode>
                <c:ptCount val="3"/>
                <c:pt idx="0">
                  <c:v>1</c:v>
                </c:pt>
                <c:pt idx="1">
                  <c:v>0.75</c:v>
                </c:pt>
                <c:pt idx="2">
                  <c:v>0.5</c:v>
                </c:pt>
              </c:numCache>
            </c:numRef>
          </c:cat>
          <c:val>
            <c:numRef>
              <c:f>Analise_Variancia!$BA$61:$BA$63</c:f>
              <c:numCache>
                <c:formatCode>0.0000</c:formatCode>
                <c:ptCount val="3"/>
                <c:pt idx="0">
                  <c:v>1.7820688174435006E-3</c:v>
                </c:pt>
                <c:pt idx="1">
                  <c:v>4.8583709881423005E-4</c:v>
                </c:pt>
                <c:pt idx="2">
                  <c:v>2.1249548405423016E-3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9B-4C12-B94A-0D67BCF8C118}"/>
            </c:ext>
          </c:extLst>
        </c:ser>
        <c:ser>
          <c:idx val="1"/>
          <c:order val="1"/>
          <c:tx>
            <c:strRef>
              <c:f>Analise_Variancia!$BB$60</c:f>
              <c:strCache>
                <c:ptCount val="1"/>
                <c:pt idx="0">
                  <c:v>Corrente</c:v>
                </c:pt>
              </c:strCache>
            </c:strRef>
          </c:tx>
          <c:spPr>
            <a:pattFill prst="wdDnDiag">
              <a:fgClr>
                <a:schemeClr val="tx1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numRef>
              <c:f>Analise_Variancia!$AZ$61:$AZ$63</c:f>
              <c:numCache>
                <c:formatCode>0%</c:formatCode>
                <c:ptCount val="3"/>
                <c:pt idx="0">
                  <c:v>1</c:v>
                </c:pt>
                <c:pt idx="1">
                  <c:v>0.75</c:v>
                </c:pt>
                <c:pt idx="2">
                  <c:v>0.5</c:v>
                </c:pt>
              </c:numCache>
            </c:numRef>
          </c:cat>
          <c:val>
            <c:numRef>
              <c:f>Analise_Variancia!$BB$61:$BB$63</c:f>
              <c:numCache>
                <c:formatCode>0.0000</c:formatCode>
                <c:ptCount val="3"/>
                <c:pt idx="0">
                  <c:v>1.5109031842040863E-2</c:v>
                </c:pt>
                <c:pt idx="1">
                  <c:v>6.6563990248203666E-3</c:v>
                </c:pt>
                <c:pt idx="2">
                  <c:v>9.0764128151155834E-3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9B-4C12-B94A-0D67BCF8C118}"/>
            </c:ext>
          </c:extLst>
        </c:ser>
        <c:ser>
          <c:idx val="2"/>
          <c:order val="2"/>
          <c:tx>
            <c:strRef>
              <c:f>Analise_Variancia!$BC$60</c:f>
              <c:strCache>
                <c:ptCount val="1"/>
                <c:pt idx="0">
                  <c:v>Potência Reativa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Analise_Variancia!$AZ$61:$AZ$63</c:f>
              <c:numCache>
                <c:formatCode>0%</c:formatCode>
                <c:ptCount val="3"/>
                <c:pt idx="0">
                  <c:v>1</c:v>
                </c:pt>
                <c:pt idx="1">
                  <c:v>0.75</c:v>
                </c:pt>
                <c:pt idx="2">
                  <c:v>0.5</c:v>
                </c:pt>
              </c:numCache>
            </c:numRef>
          </c:cat>
          <c:val>
            <c:numRef>
              <c:f>Analise_Variancia!$BC$61:$BC$63</c:f>
              <c:numCache>
                <c:formatCode>0.0000</c:formatCode>
                <c:ptCount val="3"/>
                <c:pt idx="0">
                  <c:v>1.1556083207131262E-2</c:v>
                </c:pt>
                <c:pt idx="1">
                  <c:v>8.3714639610634745E-3</c:v>
                </c:pt>
                <c:pt idx="2">
                  <c:v>1.5659225134418236E-2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9B-4C12-B94A-0D67BCF8C118}"/>
            </c:ext>
          </c:extLst>
        </c:ser>
        <c:ser>
          <c:idx val="3"/>
          <c:order val="3"/>
          <c:tx>
            <c:strRef>
              <c:f>Analise_Variancia!$BD$60</c:f>
              <c:strCache>
                <c:ptCount val="1"/>
                <c:pt idx="0">
                  <c:v>Perdas</c:v>
                </c:pt>
              </c:strCache>
            </c:strRef>
          </c:tx>
          <c:spPr>
            <a:solidFill>
              <a:schemeClr val="tx1">
                <a:lumMod val="95000"/>
                <a:lumOff val="5000"/>
              </a:schemeClr>
            </a:solidFill>
            <a:ln>
              <a:noFill/>
            </a:ln>
            <a:effectLst/>
          </c:spPr>
          <c:invertIfNegative val="0"/>
          <c:cat>
            <c:numRef>
              <c:f>Analise_Variancia!$AZ$61:$AZ$63</c:f>
              <c:numCache>
                <c:formatCode>0%</c:formatCode>
                <c:ptCount val="3"/>
                <c:pt idx="0">
                  <c:v>1</c:v>
                </c:pt>
                <c:pt idx="1">
                  <c:v>0.75</c:v>
                </c:pt>
                <c:pt idx="2">
                  <c:v>0.5</c:v>
                </c:pt>
              </c:numCache>
            </c:numRef>
          </c:cat>
          <c:val>
            <c:numRef>
              <c:f>Analise_Variancia!$BD$61:$BD$63</c:f>
              <c:numCache>
                <c:formatCode>0.0000</c:formatCode>
                <c:ptCount val="3"/>
                <c:pt idx="0">
                  <c:v>1.8958178908974426E-2</c:v>
                </c:pt>
                <c:pt idx="1">
                  <c:v>5.2808380305882779E-3</c:v>
                </c:pt>
                <c:pt idx="2">
                  <c:v>2.2367945689918275E-2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9B-4C12-B94A-0D67BCF8C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3719455"/>
        <c:axId val="1673723295"/>
      </c:barChart>
      <c:catAx>
        <c:axId val="16737194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r>
                  <a:rPr lang="pt-BR" sz="1200">
                    <a:solidFill>
                      <a:schemeClr val="tx1"/>
                    </a:solidFill>
                    <a:latin typeface="Arial Black" panose="020B0A04020102020204" pitchFamily="34" charset="0"/>
                  </a:rPr>
                  <a:t>Load</a:t>
                </a:r>
                <a:r>
                  <a:rPr lang="pt-BR" sz="1200" baseline="0">
                    <a:solidFill>
                      <a:schemeClr val="tx1"/>
                    </a:solidFill>
                    <a:latin typeface="Arial Black" panose="020B0A04020102020204" pitchFamily="34" charset="0"/>
                  </a:rPr>
                  <a:t>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673723295"/>
        <c:crosses val="autoZero"/>
        <c:auto val="1"/>
        <c:lblAlgn val="ctr"/>
        <c:lblOffset val="100"/>
        <c:noMultiLvlLbl val="0"/>
      </c:catAx>
      <c:valAx>
        <c:axId val="1673723295"/>
        <c:scaling>
          <c:orientation val="minMax"/>
          <c:max val="6.0000000000000012E-2"/>
          <c:min val="0"/>
        </c:scaling>
        <c:delete val="0"/>
        <c:axPos val="l"/>
        <c:majorGridlines>
          <c:spPr>
            <a:ln w="25400" cap="flat" cmpd="sng" algn="ctr">
              <a:solidFill>
                <a:schemeClr val="bg2">
                  <a:lumMod val="9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r>
                  <a:rPr lang="pt-BR" sz="1200" b="0" i="0" u="none" strike="noStrike" kern="1200" baseline="0">
                    <a:solidFill>
                      <a:schemeClr val="tx1"/>
                    </a:solidFill>
                    <a:latin typeface="Arial Black" panose="020B0A04020102020204" pitchFamily="34" charset="0"/>
                  </a:rPr>
                  <a:t>Erro Padrão (%)</a:t>
                </a:r>
              </a:p>
            </c:rich>
          </c:tx>
          <c:layout>
            <c:manualLayout>
              <c:xMode val="edge"/>
              <c:yMode val="edge"/>
              <c:x val="2.9931972789115645E-2"/>
              <c:y val="0.139110560618124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#,##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673719455"/>
        <c:crosses val="autoZero"/>
        <c:crossBetween val="between"/>
        <c:majorUnit val="1.2000000000000002E-2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6842541557305338"/>
          <c:y val="9.3077427821522309E-3"/>
          <c:w val="0.83157461000122324"/>
          <c:h val="0.131687830792288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Analise_Variancia!$BW$60</c:f>
              <c:strCache>
                <c:ptCount val="1"/>
                <c:pt idx="0">
                  <c:v>Potência Elétrica</c:v>
                </c:pt>
              </c:strCache>
            </c:strRef>
          </c:tx>
          <c:spPr>
            <a:pattFill prst="pct40">
              <a:fgClr>
                <a:schemeClr val="tx1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numRef>
              <c:f>Analise_Variancia!$BV$61:$BV$63</c:f>
              <c:numCache>
                <c:formatCode>0%</c:formatCode>
                <c:ptCount val="3"/>
                <c:pt idx="0">
                  <c:v>1</c:v>
                </c:pt>
                <c:pt idx="1">
                  <c:v>0.75</c:v>
                </c:pt>
                <c:pt idx="2">
                  <c:v>0.5</c:v>
                </c:pt>
              </c:numCache>
            </c:numRef>
          </c:cat>
          <c:val>
            <c:numRef>
              <c:f>Analise_Variancia!$BW$61:$BW$63</c:f>
              <c:numCache>
                <c:formatCode>0.0000</c:formatCode>
                <c:ptCount val="3"/>
                <c:pt idx="0">
                  <c:v>4.4637787210556707E-3</c:v>
                </c:pt>
                <c:pt idx="1">
                  <c:v>6.6239255153058025E-4</c:v>
                </c:pt>
                <c:pt idx="2">
                  <c:v>4.9848819080781275E-3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28-4193-9D1F-8CE8B4660273}"/>
            </c:ext>
          </c:extLst>
        </c:ser>
        <c:ser>
          <c:idx val="1"/>
          <c:order val="1"/>
          <c:tx>
            <c:strRef>
              <c:f>Analise_Variancia!$BX$60</c:f>
              <c:strCache>
                <c:ptCount val="1"/>
                <c:pt idx="0">
                  <c:v>Corrente</c:v>
                </c:pt>
              </c:strCache>
            </c:strRef>
          </c:tx>
          <c:spPr>
            <a:pattFill prst="wdDnDiag">
              <a:fgClr>
                <a:schemeClr val="tx1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numRef>
              <c:f>Analise_Variancia!$BV$61:$BV$63</c:f>
              <c:numCache>
                <c:formatCode>0%</c:formatCode>
                <c:ptCount val="3"/>
                <c:pt idx="0">
                  <c:v>1</c:v>
                </c:pt>
                <c:pt idx="1">
                  <c:v>0.75</c:v>
                </c:pt>
                <c:pt idx="2">
                  <c:v>0.5</c:v>
                </c:pt>
              </c:numCache>
            </c:numRef>
          </c:cat>
          <c:val>
            <c:numRef>
              <c:f>Analise_Variancia!$BX$61:$BX$63</c:f>
              <c:numCache>
                <c:formatCode>0.0000</c:formatCode>
                <c:ptCount val="3"/>
                <c:pt idx="0">
                  <c:v>2.347398657822132E-2</c:v>
                </c:pt>
                <c:pt idx="1">
                  <c:v>1.4063513264945454E-2</c:v>
                </c:pt>
                <c:pt idx="2">
                  <c:v>8.1722702088469542E-3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28-4193-9D1F-8CE8B4660273}"/>
            </c:ext>
          </c:extLst>
        </c:ser>
        <c:ser>
          <c:idx val="2"/>
          <c:order val="2"/>
          <c:tx>
            <c:strRef>
              <c:f>Analise_Variancia!$BY$60</c:f>
              <c:strCache>
                <c:ptCount val="1"/>
                <c:pt idx="0">
                  <c:v>Potência Reativa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Analise_Variancia!$BV$61:$BV$63</c:f>
              <c:numCache>
                <c:formatCode>0%</c:formatCode>
                <c:ptCount val="3"/>
                <c:pt idx="0">
                  <c:v>1</c:v>
                </c:pt>
                <c:pt idx="1">
                  <c:v>0.75</c:v>
                </c:pt>
                <c:pt idx="2">
                  <c:v>0.5</c:v>
                </c:pt>
              </c:numCache>
            </c:numRef>
          </c:cat>
          <c:val>
            <c:numRef>
              <c:f>Analise_Variancia!$BY$61:$BY$63</c:f>
              <c:numCache>
                <c:formatCode>0.0000</c:formatCode>
                <c:ptCount val="3"/>
                <c:pt idx="0">
                  <c:v>1.4991732083176269E-2</c:v>
                </c:pt>
                <c:pt idx="1">
                  <c:v>1.132070165093456E-2</c:v>
                </c:pt>
                <c:pt idx="2">
                  <c:v>2.5695029601974645E-2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28-4193-9D1F-8CE8B4660273}"/>
            </c:ext>
          </c:extLst>
        </c:ser>
        <c:ser>
          <c:idx val="3"/>
          <c:order val="3"/>
          <c:tx>
            <c:strRef>
              <c:f>Analise_Variancia!$BZ$60</c:f>
              <c:strCache>
                <c:ptCount val="1"/>
                <c:pt idx="0">
                  <c:v>Perdas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numRef>
              <c:f>Analise_Variancia!$BV$61:$BV$63</c:f>
              <c:numCache>
                <c:formatCode>0%</c:formatCode>
                <c:ptCount val="3"/>
                <c:pt idx="0">
                  <c:v>1</c:v>
                </c:pt>
                <c:pt idx="1">
                  <c:v>0.75</c:v>
                </c:pt>
                <c:pt idx="2">
                  <c:v>0.5</c:v>
                </c:pt>
              </c:numCache>
            </c:numRef>
          </c:cat>
          <c:val>
            <c:numRef>
              <c:f>Analise_Variancia!$BZ$61:$BZ$63</c:f>
              <c:numCache>
                <c:formatCode>0.0000</c:formatCode>
                <c:ptCount val="3"/>
                <c:pt idx="0">
                  <c:v>5.5108379272293027E-2</c:v>
                </c:pt>
                <c:pt idx="1">
                  <c:v>7.885625613459778E-3</c:v>
                </c:pt>
                <c:pt idx="2">
                  <c:v>3.6632275942352098E-2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28-4193-9D1F-8CE8B46602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3719455"/>
        <c:axId val="1673723295"/>
      </c:barChart>
      <c:catAx>
        <c:axId val="16737194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r>
                  <a:rPr lang="pt-BR" sz="1200">
                    <a:solidFill>
                      <a:schemeClr val="tx1"/>
                    </a:solidFill>
                    <a:latin typeface="Arial Black" panose="020B0A04020102020204" pitchFamily="34" charset="0"/>
                  </a:rPr>
                  <a:t>Load</a:t>
                </a:r>
                <a:r>
                  <a:rPr lang="pt-BR" sz="1200" baseline="0">
                    <a:solidFill>
                      <a:schemeClr val="tx1"/>
                    </a:solidFill>
                    <a:latin typeface="Arial Black" panose="020B0A04020102020204" pitchFamily="34" charset="0"/>
                  </a:rPr>
                  <a:t>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673723295"/>
        <c:crosses val="autoZero"/>
        <c:auto val="1"/>
        <c:lblAlgn val="ctr"/>
        <c:lblOffset val="100"/>
        <c:noMultiLvlLbl val="0"/>
      </c:catAx>
      <c:valAx>
        <c:axId val="1673723295"/>
        <c:scaling>
          <c:orientation val="minMax"/>
          <c:max val="6.0000000000000012E-2"/>
          <c:min val="0"/>
        </c:scaling>
        <c:delete val="0"/>
        <c:axPos val="l"/>
        <c:majorGridlines>
          <c:spPr>
            <a:ln w="25400" cap="flat" cmpd="sng" algn="ctr">
              <a:solidFill>
                <a:schemeClr val="bg2">
                  <a:lumMod val="9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r>
                  <a:rPr lang="pt-BR" sz="1200" b="0" i="0" u="none" strike="noStrike" kern="1200" baseline="0">
                    <a:solidFill>
                      <a:schemeClr val="tx1"/>
                    </a:solidFill>
                    <a:latin typeface="Arial Black" panose="020B0A04020102020204" pitchFamily="34" charset="0"/>
                  </a:rPr>
                  <a:t>Erro Padrão (%)</a:t>
                </a:r>
              </a:p>
            </c:rich>
          </c:tx>
          <c:layout>
            <c:manualLayout>
              <c:xMode val="edge"/>
              <c:yMode val="edge"/>
              <c:x val="2.9931972789115645E-2"/>
              <c:y val="0.139110560618124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#,##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673719455"/>
        <c:crosses val="autoZero"/>
        <c:crossBetween val="between"/>
        <c:majorUnit val="1.2000000000000002E-2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6842541557305338"/>
          <c:y val="9.3077427821522309E-3"/>
          <c:w val="0.83157461000122324"/>
          <c:h val="0.150491935344998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Analise_Variancia!$CT$60</c:f>
              <c:strCache>
                <c:ptCount val="1"/>
                <c:pt idx="0">
                  <c:v>Potência Elétrica</c:v>
                </c:pt>
              </c:strCache>
            </c:strRef>
          </c:tx>
          <c:spPr>
            <a:pattFill prst="pct40">
              <a:fgClr>
                <a:schemeClr val="tx1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numRef>
              <c:f>Analise_Variancia!$CS$61:$CS$63</c:f>
              <c:numCache>
                <c:formatCode>0%</c:formatCode>
                <c:ptCount val="3"/>
                <c:pt idx="0">
                  <c:v>1</c:v>
                </c:pt>
                <c:pt idx="1">
                  <c:v>0.75</c:v>
                </c:pt>
                <c:pt idx="2">
                  <c:v>0.5</c:v>
                </c:pt>
              </c:numCache>
            </c:numRef>
          </c:cat>
          <c:val>
            <c:numRef>
              <c:f>Analise_Variancia!$CT$61:$CT$63</c:f>
              <c:numCache>
                <c:formatCode>0.0000</c:formatCode>
                <c:ptCount val="3"/>
                <c:pt idx="0">
                  <c:v>3.6279124500429875E-4</c:v>
                </c:pt>
                <c:pt idx="1">
                  <c:v>1.2070326408346934E-4</c:v>
                </c:pt>
                <c:pt idx="2">
                  <c:v>4.5903606046392121E-4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75-45AC-B295-1C2E247BB86F}"/>
            </c:ext>
          </c:extLst>
        </c:ser>
        <c:ser>
          <c:idx val="1"/>
          <c:order val="1"/>
          <c:tx>
            <c:strRef>
              <c:f>Analise_Variancia!$CU$60</c:f>
              <c:strCache>
                <c:ptCount val="1"/>
                <c:pt idx="0">
                  <c:v>Corrente</c:v>
                </c:pt>
              </c:strCache>
            </c:strRef>
          </c:tx>
          <c:spPr>
            <a:pattFill prst="wdDnDiag">
              <a:fgClr>
                <a:schemeClr val="tx1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numRef>
              <c:f>Analise_Variancia!$CS$61:$CS$63</c:f>
              <c:numCache>
                <c:formatCode>0%</c:formatCode>
                <c:ptCount val="3"/>
                <c:pt idx="0">
                  <c:v>1</c:v>
                </c:pt>
                <c:pt idx="1">
                  <c:v>0.75</c:v>
                </c:pt>
                <c:pt idx="2">
                  <c:v>0.5</c:v>
                </c:pt>
              </c:numCache>
            </c:numRef>
          </c:cat>
          <c:val>
            <c:numRef>
              <c:f>Analise_Variancia!$CU$61:$CU$63</c:f>
              <c:numCache>
                <c:formatCode>0.0000</c:formatCode>
                <c:ptCount val="3"/>
                <c:pt idx="0">
                  <c:v>2.9047717616862375E-3</c:v>
                </c:pt>
                <c:pt idx="1">
                  <c:v>1.525397054806268E-3</c:v>
                </c:pt>
                <c:pt idx="2">
                  <c:v>3.4034219656179396E-3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75-45AC-B295-1C2E247BB86F}"/>
            </c:ext>
          </c:extLst>
        </c:ser>
        <c:ser>
          <c:idx val="2"/>
          <c:order val="2"/>
          <c:tx>
            <c:strRef>
              <c:f>Analise_Variancia!$CV$60</c:f>
              <c:strCache>
                <c:ptCount val="1"/>
                <c:pt idx="0">
                  <c:v>Potência Reativa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Analise_Variancia!$CS$61:$CS$63</c:f>
              <c:numCache>
                <c:formatCode>0%</c:formatCode>
                <c:ptCount val="3"/>
                <c:pt idx="0">
                  <c:v>1</c:v>
                </c:pt>
                <c:pt idx="1">
                  <c:v>0.75</c:v>
                </c:pt>
                <c:pt idx="2">
                  <c:v>0.5</c:v>
                </c:pt>
              </c:numCache>
            </c:numRef>
          </c:cat>
          <c:val>
            <c:numRef>
              <c:f>Analise_Variancia!$CV$61:$CV$63</c:f>
              <c:numCache>
                <c:formatCode>0.0000</c:formatCode>
                <c:ptCount val="3"/>
                <c:pt idx="0">
                  <c:v>1.8190436824595839E-3</c:v>
                </c:pt>
                <c:pt idx="1">
                  <c:v>1.8112069787551567E-3</c:v>
                </c:pt>
                <c:pt idx="2">
                  <c:v>3.6538000026214317E-3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75-45AC-B295-1C2E247BB86F}"/>
            </c:ext>
          </c:extLst>
        </c:ser>
        <c:ser>
          <c:idx val="3"/>
          <c:order val="3"/>
          <c:tx>
            <c:strRef>
              <c:f>Analise_Variancia!$CW$60</c:f>
              <c:strCache>
                <c:ptCount val="1"/>
                <c:pt idx="0">
                  <c:v>Perdas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numRef>
              <c:f>Analise_Variancia!$CS$61:$CS$63</c:f>
              <c:numCache>
                <c:formatCode>0%</c:formatCode>
                <c:ptCount val="3"/>
                <c:pt idx="0">
                  <c:v>1</c:v>
                </c:pt>
                <c:pt idx="1">
                  <c:v>0.75</c:v>
                </c:pt>
                <c:pt idx="2">
                  <c:v>0.5</c:v>
                </c:pt>
              </c:numCache>
            </c:numRef>
          </c:cat>
          <c:val>
            <c:numRef>
              <c:f>Analise_Variancia!$CW$61:$CW$63</c:f>
              <c:numCache>
                <c:formatCode>0.0000</c:formatCode>
                <c:ptCount val="3"/>
                <c:pt idx="0">
                  <c:v>4.6511698077458981E-3</c:v>
                </c:pt>
                <c:pt idx="1">
                  <c:v>1.6093768544483546E-3</c:v>
                </c:pt>
                <c:pt idx="2">
                  <c:v>5.9615072787525987E-3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75-45AC-B295-1C2E247BB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3719455"/>
        <c:axId val="1673723295"/>
      </c:barChart>
      <c:catAx>
        <c:axId val="16737194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r>
                  <a:rPr lang="pt-BR" sz="1200">
                    <a:solidFill>
                      <a:schemeClr val="tx1"/>
                    </a:solidFill>
                    <a:latin typeface="Arial Black" panose="020B0A04020102020204" pitchFamily="34" charset="0"/>
                  </a:rPr>
                  <a:t>Load</a:t>
                </a:r>
                <a:r>
                  <a:rPr lang="pt-BR" sz="1200" baseline="0">
                    <a:solidFill>
                      <a:schemeClr val="tx1"/>
                    </a:solidFill>
                    <a:latin typeface="Arial Black" panose="020B0A04020102020204" pitchFamily="34" charset="0"/>
                  </a:rPr>
                  <a:t>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673723295"/>
        <c:crosses val="autoZero"/>
        <c:auto val="1"/>
        <c:lblAlgn val="ctr"/>
        <c:lblOffset val="100"/>
        <c:noMultiLvlLbl val="0"/>
      </c:catAx>
      <c:valAx>
        <c:axId val="1673723295"/>
        <c:scaling>
          <c:orientation val="minMax"/>
          <c:max val="6.0000000000000012E-2"/>
          <c:min val="0"/>
        </c:scaling>
        <c:delete val="0"/>
        <c:axPos val="l"/>
        <c:majorGridlines>
          <c:spPr>
            <a:ln w="25400" cap="flat" cmpd="sng" algn="ctr">
              <a:solidFill>
                <a:schemeClr val="bg2">
                  <a:lumMod val="9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r>
                  <a:rPr lang="pt-BR" sz="1200" b="0" i="0" u="none" strike="noStrike" kern="1200" baseline="0">
                    <a:solidFill>
                      <a:schemeClr val="tx1"/>
                    </a:solidFill>
                    <a:latin typeface="Arial Black" panose="020B0A04020102020204" pitchFamily="34" charset="0"/>
                  </a:rPr>
                  <a:t>Erro Padrão (%)</a:t>
                </a:r>
              </a:p>
            </c:rich>
          </c:tx>
          <c:layout>
            <c:manualLayout>
              <c:xMode val="edge"/>
              <c:yMode val="edge"/>
              <c:x val="2.9931972789115645E-2"/>
              <c:y val="0.139110560618124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#,##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673719455"/>
        <c:crosses val="autoZero"/>
        <c:crossBetween val="between"/>
        <c:majorUnit val="1.2000000000000002E-2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6842541557305338"/>
          <c:y val="9.3077427821522309E-3"/>
          <c:w val="0.83157461000122324"/>
          <c:h val="0.140848114548209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542925</xdr:colOff>
      <xdr:row>64</xdr:row>
      <xdr:rowOff>28575</xdr:rowOff>
    </xdr:from>
    <xdr:to>
      <xdr:col>12</xdr:col>
      <xdr:colOff>238125</xdr:colOff>
      <xdr:row>79</xdr:row>
      <xdr:rowOff>26670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60166EB-B1B1-42AB-BDA8-FCB32E2F16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64</xdr:row>
      <xdr:rowOff>0</xdr:rowOff>
    </xdr:from>
    <xdr:to>
      <xdr:col>21</xdr:col>
      <xdr:colOff>304800</xdr:colOff>
      <xdr:row>78</xdr:row>
      <xdr:rowOff>179070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568AA8B-276F-4E4A-AC50-C7A77F647B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0</xdr:colOff>
      <xdr:row>64</xdr:row>
      <xdr:rowOff>0</xdr:rowOff>
    </xdr:from>
    <xdr:to>
      <xdr:col>30</xdr:col>
      <xdr:colOff>304800</xdr:colOff>
      <xdr:row>78</xdr:row>
      <xdr:rowOff>177165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84F274C-744E-4847-8AF9-1E87EC0D69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85725</xdr:colOff>
      <xdr:row>80</xdr:row>
      <xdr:rowOff>133350</xdr:rowOff>
    </xdr:from>
    <xdr:to>
      <xdr:col>17</xdr:col>
      <xdr:colOff>390525</xdr:colOff>
      <xdr:row>95</xdr:row>
      <xdr:rowOff>121920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FCCBDE9-D7C0-42A3-B4D1-FE2FB818A4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0</xdr:colOff>
      <xdr:row>81</xdr:row>
      <xdr:rowOff>0</xdr:rowOff>
    </xdr:from>
    <xdr:to>
      <xdr:col>26</xdr:col>
      <xdr:colOff>304800</xdr:colOff>
      <xdr:row>95</xdr:row>
      <xdr:rowOff>175260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D79762A1-1A00-4835-92F1-8D9AC8B556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38</xdr:col>
      <xdr:colOff>523875</xdr:colOff>
      <xdr:row>64</xdr:row>
      <xdr:rowOff>0</xdr:rowOff>
    </xdr:from>
    <xdr:to>
      <xdr:col>46</xdr:col>
      <xdr:colOff>310515</xdr:colOff>
      <xdr:row>78</xdr:row>
      <xdr:rowOff>177165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443DE79F-E7B4-4170-A2E2-BCB91E5473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48</xdr:col>
      <xdr:colOff>0</xdr:colOff>
      <xdr:row>64</xdr:row>
      <xdr:rowOff>0</xdr:rowOff>
    </xdr:from>
    <xdr:to>
      <xdr:col>55</xdr:col>
      <xdr:colOff>400050</xdr:colOff>
      <xdr:row>78</xdr:row>
      <xdr:rowOff>173355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247A7B53-321D-4BFC-9AB0-BCCE8B3D75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57</xdr:col>
      <xdr:colOff>0</xdr:colOff>
      <xdr:row>64</xdr:row>
      <xdr:rowOff>0</xdr:rowOff>
    </xdr:from>
    <xdr:to>
      <xdr:col>64</xdr:col>
      <xdr:colOff>396240</xdr:colOff>
      <xdr:row>78</xdr:row>
      <xdr:rowOff>169545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1FB0C3DA-B3F4-4E65-AE83-2A368FA7ED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43</xdr:col>
      <xdr:colOff>209550</xdr:colOff>
      <xdr:row>80</xdr:row>
      <xdr:rowOff>123825</xdr:rowOff>
    </xdr:from>
    <xdr:to>
      <xdr:col>50</xdr:col>
      <xdr:colOff>605790</xdr:colOff>
      <xdr:row>95</xdr:row>
      <xdr:rowOff>112395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2647A103-EF0F-47B1-B267-A9A3BAC05B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52</xdr:col>
      <xdr:colOff>438150</xdr:colOff>
      <xdr:row>80</xdr:row>
      <xdr:rowOff>133350</xdr:rowOff>
    </xdr:from>
    <xdr:to>
      <xdr:col>60</xdr:col>
      <xdr:colOff>224790</xdr:colOff>
      <xdr:row>95</xdr:row>
      <xdr:rowOff>123825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79D503CB-4694-4F90-AD62-849C5BD5D1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400050</xdr:colOff>
      <xdr:row>64</xdr:row>
      <xdr:rowOff>152400</xdr:rowOff>
    </xdr:from>
    <xdr:to>
      <xdr:col>12</xdr:col>
      <xdr:colOff>76200</xdr:colOff>
      <xdr:row>81</xdr:row>
      <xdr:rowOff>123825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92CAA527-5707-4742-BE39-C8AF6B69CF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19050</xdr:colOff>
      <xdr:row>64</xdr:row>
      <xdr:rowOff>152400</xdr:rowOff>
    </xdr:from>
    <xdr:to>
      <xdr:col>21</xdr:col>
      <xdr:colOff>401955</xdr:colOff>
      <xdr:row>81</xdr:row>
      <xdr:rowOff>152400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86E38079-F9BD-4D9F-B71D-A21C0E5D27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434340</xdr:colOff>
      <xdr:row>64</xdr:row>
      <xdr:rowOff>102870</xdr:rowOff>
    </xdr:from>
    <xdr:to>
      <xdr:col>31</xdr:col>
      <xdr:colOff>207645</xdr:colOff>
      <xdr:row>81</xdr:row>
      <xdr:rowOff>57150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C31E9B4A-7587-446D-803C-0AE5B033A2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91440</xdr:colOff>
      <xdr:row>84</xdr:row>
      <xdr:rowOff>30480</xdr:rowOff>
    </xdr:from>
    <xdr:to>
      <xdr:col>16</xdr:col>
      <xdr:colOff>493395</xdr:colOff>
      <xdr:row>99</xdr:row>
      <xdr:rowOff>24765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4271A880-4C86-4E91-884B-3F9792E6E4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97155</xdr:colOff>
      <xdr:row>83</xdr:row>
      <xdr:rowOff>152400</xdr:rowOff>
    </xdr:from>
    <xdr:to>
      <xdr:col>26</xdr:col>
      <xdr:colOff>510540</xdr:colOff>
      <xdr:row>98</xdr:row>
      <xdr:rowOff>152400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607C9392-7B63-4EBA-99AD-CBAF55DB62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CA59F-FE6A-4BF9-A9DB-07192C0D3C15}">
  <dimension ref="E4:DK73"/>
  <sheetViews>
    <sheetView tabSelected="1" topLeftCell="CW4" zoomScale="130" zoomScaleNormal="130" workbookViewId="0">
      <selection activeCell="DC7" sqref="DC7:DE7"/>
    </sheetView>
  </sheetViews>
  <sheetFormatPr defaultRowHeight="15" x14ac:dyDescent="0.25"/>
  <cols>
    <col min="5" max="5" width="10.28515625" bestFit="1" customWidth="1"/>
  </cols>
  <sheetData>
    <row r="4" spans="6:115" x14ac:dyDescent="0.25">
      <c r="L4" s="34" t="s">
        <v>40</v>
      </c>
      <c r="M4" s="34"/>
      <c r="N4" s="34"/>
      <c r="O4" s="34"/>
      <c r="P4" s="34"/>
      <c r="Q4" s="34"/>
      <c r="R4" s="34"/>
      <c r="AJ4" s="34" t="s">
        <v>39</v>
      </c>
      <c r="AK4" s="34"/>
      <c r="AL4" s="34"/>
      <c r="AM4" s="34"/>
      <c r="AN4" s="34"/>
      <c r="AO4" s="33"/>
      <c r="AP4" s="33"/>
      <c r="AQ4" s="33"/>
      <c r="AR4" s="33"/>
      <c r="AS4" s="33"/>
      <c r="BG4" s="34" t="s">
        <v>38</v>
      </c>
      <c r="BH4" s="34"/>
      <c r="BI4" s="34"/>
      <c r="BJ4" s="34"/>
      <c r="BK4" s="34"/>
      <c r="BL4" s="33"/>
      <c r="BM4" s="33"/>
      <c r="BN4" s="33"/>
      <c r="BO4" s="33"/>
      <c r="CC4" s="34" t="s">
        <v>37</v>
      </c>
      <c r="CD4" s="34"/>
      <c r="CE4" s="34"/>
      <c r="CF4" s="34"/>
      <c r="CG4" s="33"/>
      <c r="CH4" s="33"/>
      <c r="CI4" s="33"/>
      <c r="CJ4" s="33"/>
      <c r="CK4" s="33"/>
      <c r="CL4" s="33"/>
      <c r="CY4" s="34" t="s">
        <v>36</v>
      </c>
      <c r="CZ4" s="34"/>
      <c r="DA4" s="34"/>
      <c r="DB4" s="34"/>
      <c r="DC4" s="34"/>
      <c r="DD4" s="34"/>
      <c r="DE4" s="33"/>
      <c r="DF4" s="33"/>
      <c r="DG4" s="33"/>
      <c r="DH4" s="33"/>
    </row>
    <row r="6" spans="6:115" ht="15.75" x14ac:dyDescent="0.25">
      <c r="F6" s="1"/>
      <c r="G6" s="1"/>
      <c r="H6" s="1"/>
      <c r="I6" s="1"/>
      <c r="J6" s="1"/>
      <c r="K6" s="42" t="s">
        <v>0</v>
      </c>
      <c r="L6" s="42"/>
      <c r="M6" s="42"/>
      <c r="N6" s="42"/>
      <c r="O6" s="42"/>
      <c r="P6" s="42"/>
      <c r="Q6" s="42"/>
      <c r="R6" s="42"/>
      <c r="S6" s="42"/>
      <c r="T6" s="42"/>
      <c r="U6" s="1"/>
      <c r="V6" s="1"/>
      <c r="W6" s="1"/>
      <c r="X6" s="1"/>
      <c r="AC6" s="1"/>
      <c r="AD6" s="1"/>
      <c r="AE6" s="1"/>
      <c r="AF6" s="1"/>
      <c r="AG6" s="1"/>
      <c r="AH6" s="1"/>
      <c r="AI6" s="42" t="s">
        <v>0</v>
      </c>
      <c r="AJ6" s="42"/>
      <c r="AK6" s="42"/>
      <c r="AL6" s="42"/>
      <c r="AM6" s="42"/>
      <c r="AN6" s="42"/>
      <c r="AO6" s="42"/>
      <c r="AP6" s="42"/>
      <c r="AQ6" s="42"/>
      <c r="AR6" s="42"/>
      <c r="AS6" s="1"/>
      <c r="AT6" s="1"/>
      <c r="AU6" s="1"/>
      <c r="AZ6" s="1"/>
      <c r="BA6" s="1"/>
      <c r="BB6" s="1"/>
      <c r="BC6" s="1"/>
      <c r="BD6" s="1"/>
      <c r="BE6" s="1"/>
      <c r="BF6" s="42" t="s">
        <v>0</v>
      </c>
      <c r="BG6" s="42"/>
      <c r="BH6" s="42"/>
      <c r="BI6" s="42"/>
      <c r="BJ6" s="42"/>
      <c r="BK6" s="42"/>
      <c r="BL6" s="42"/>
      <c r="BM6" s="42"/>
      <c r="BN6" s="42"/>
      <c r="BO6" s="42"/>
      <c r="BP6" s="1"/>
      <c r="BQ6" s="1"/>
      <c r="BR6" s="1"/>
      <c r="BV6" s="1"/>
      <c r="BW6" s="1"/>
      <c r="BX6" s="1"/>
      <c r="BY6" s="1"/>
      <c r="BZ6" s="1"/>
      <c r="CA6" s="1"/>
      <c r="CB6" s="1"/>
      <c r="CC6" s="1"/>
      <c r="CD6" s="1"/>
      <c r="CE6" s="42" t="s">
        <v>0</v>
      </c>
      <c r="CF6" s="42"/>
      <c r="CG6" s="42"/>
      <c r="CH6" s="42"/>
      <c r="CI6" s="42"/>
      <c r="CJ6" s="42"/>
      <c r="CK6" s="42"/>
      <c r="CL6" s="42"/>
      <c r="CM6" s="42"/>
      <c r="CN6" s="42"/>
      <c r="DA6" s="42" t="s">
        <v>0</v>
      </c>
      <c r="DB6" s="42"/>
      <c r="DC6" s="42"/>
      <c r="DD6" s="42"/>
      <c r="DE6" s="42"/>
      <c r="DF6" s="42"/>
      <c r="DG6" s="42"/>
      <c r="DH6" s="42"/>
      <c r="DI6" s="42"/>
      <c r="DJ6" s="42"/>
    </row>
    <row r="7" spans="6:115" ht="15.75" x14ac:dyDescent="0.25">
      <c r="F7" s="1"/>
      <c r="G7" s="36" t="s">
        <v>13</v>
      </c>
      <c r="H7" s="36"/>
      <c r="I7" s="36"/>
      <c r="J7" s="37" t="s">
        <v>2</v>
      </c>
      <c r="K7" s="37"/>
      <c r="L7" s="37"/>
      <c r="M7" s="38" t="s">
        <v>3</v>
      </c>
      <c r="N7" s="38"/>
      <c r="O7" s="38"/>
      <c r="P7" s="39" t="s">
        <v>4</v>
      </c>
      <c r="Q7" s="39"/>
      <c r="R7" s="39"/>
      <c r="S7" s="40" t="s">
        <v>5</v>
      </c>
      <c r="T7" s="40"/>
      <c r="U7" s="40"/>
      <c r="V7" s="41" t="s">
        <v>6</v>
      </c>
      <c r="W7" s="41"/>
      <c r="X7" s="41"/>
      <c r="AC7" s="1"/>
      <c r="AD7" s="36" t="s">
        <v>1</v>
      </c>
      <c r="AE7" s="36"/>
      <c r="AF7" s="36"/>
      <c r="AG7" s="37" t="s">
        <v>2</v>
      </c>
      <c r="AH7" s="37"/>
      <c r="AI7" s="37"/>
      <c r="AJ7" s="38" t="s">
        <v>3</v>
      </c>
      <c r="AK7" s="38"/>
      <c r="AL7" s="38"/>
      <c r="AM7" s="39" t="s">
        <v>4</v>
      </c>
      <c r="AN7" s="39"/>
      <c r="AO7" s="39"/>
      <c r="AP7" s="40" t="s">
        <v>5</v>
      </c>
      <c r="AQ7" s="40"/>
      <c r="AR7" s="40"/>
      <c r="AS7" s="41" t="s">
        <v>6</v>
      </c>
      <c r="AT7" s="41"/>
      <c r="AU7" s="41"/>
      <c r="AZ7" s="1"/>
      <c r="BA7" s="36" t="s">
        <v>1</v>
      </c>
      <c r="BB7" s="36"/>
      <c r="BC7" s="36"/>
      <c r="BD7" s="37" t="s">
        <v>2</v>
      </c>
      <c r="BE7" s="37"/>
      <c r="BF7" s="37"/>
      <c r="BG7" s="38" t="s">
        <v>3</v>
      </c>
      <c r="BH7" s="38"/>
      <c r="BI7" s="38"/>
      <c r="BJ7" s="39" t="s">
        <v>4</v>
      </c>
      <c r="BK7" s="39"/>
      <c r="BL7" s="39"/>
      <c r="BM7" s="40" t="s">
        <v>5</v>
      </c>
      <c r="BN7" s="40"/>
      <c r="BO7" s="40"/>
      <c r="BP7" s="41" t="s">
        <v>6</v>
      </c>
      <c r="BQ7" s="41"/>
      <c r="BR7" s="41"/>
      <c r="BV7" s="1"/>
      <c r="BW7" s="36" t="s">
        <v>1</v>
      </c>
      <c r="BX7" s="36"/>
      <c r="BY7" s="36"/>
      <c r="BZ7" s="37" t="s">
        <v>2</v>
      </c>
      <c r="CA7" s="37"/>
      <c r="CB7" s="37"/>
      <c r="CC7" s="38" t="s">
        <v>3</v>
      </c>
      <c r="CD7" s="38"/>
      <c r="CE7" s="38"/>
      <c r="CF7" s="39" t="s">
        <v>4</v>
      </c>
      <c r="CG7" s="39"/>
      <c r="CH7" s="39"/>
      <c r="CI7" s="40" t="s">
        <v>5</v>
      </c>
      <c r="CJ7" s="40"/>
      <c r="CK7" s="40"/>
      <c r="CL7" s="41" t="s">
        <v>6</v>
      </c>
      <c r="CM7" s="41"/>
      <c r="CN7" s="41"/>
      <c r="CS7" s="1"/>
      <c r="CT7" s="36" t="s">
        <v>1</v>
      </c>
      <c r="CU7" s="36"/>
      <c r="CV7" s="36"/>
      <c r="CW7" s="37" t="s">
        <v>2</v>
      </c>
      <c r="CX7" s="37"/>
      <c r="CY7" s="37"/>
      <c r="CZ7" s="38" t="s">
        <v>3</v>
      </c>
      <c r="DA7" s="38"/>
      <c r="DB7" s="38"/>
      <c r="DC7" s="39" t="s">
        <v>4</v>
      </c>
      <c r="DD7" s="39"/>
      <c r="DE7" s="39"/>
      <c r="DF7" s="40" t="s">
        <v>5</v>
      </c>
      <c r="DG7" s="40"/>
      <c r="DH7" s="40"/>
      <c r="DI7" s="41" t="s">
        <v>6</v>
      </c>
      <c r="DJ7" s="41"/>
      <c r="DK7" s="41"/>
    </row>
    <row r="8" spans="6:115" ht="15.75" x14ac:dyDescent="0.25">
      <c r="F8" s="1" t="s">
        <v>7</v>
      </c>
      <c r="G8" s="8">
        <v>1</v>
      </c>
      <c r="H8" s="8">
        <v>0.75</v>
      </c>
      <c r="I8" s="8">
        <v>0.5</v>
      </c>
      <c r="J8" s="9">
        <v>1</v>
      </c>
      <c r="K8" s="9">
        <v>0.75</v>
      </c>
      <c r="L8" s="9">
        <v>0.5</v>
      </c>
      <c r="M8" s="10">
        <v>1</v>
      </c>
      <c r="N8" s="10">
        <v>0.75</v>
      </c>
      <c r="O8" s="10">
        <v>0.5</v>
      </c>
      <c r="P8" s="11">
        <v>1</v>
      </c>
      <c r="Q8" s="11">
        <v>0.75</v>
      </c>
      <c r="R8" s="11">
        <v>0.5</v>
      </c>
      <c r="S8" s="12">
        <v>1</v>
      </c>
      <c r="T8" s="12">
        <v>0.75</v>
      </c>
      <c r="U8" s="12">
        <v>0.5</v>
      </c>
      <c r="V8" s="13">
        <v>1</v>
      </c>
      <c r="W8" s="14">
        <v>0.75</v>
      </c>
      <c r="X8" s="14">
        <v>0.5</v>
      </c>
      <c r="AC8" s="1" t="s">
        <v>7</v>
      </c>
      <c r="AD8" s="2">
        <v>1</v>
      </c>
      <c r="AE8" s="2">
        <v>0.75</v>
      </c>
      <c r="AF8" s="2">
        <v>0.5</v>
      </c>
      <c r="AG8" s="3">
        <v>1</v>
      </c>
      <c r="AH8" s="3">
        <v>0.75</v>
      </c>
      <c r="AI8" s="3">
        <v>0.5</v>
      </c>
      <c r="AJ8" s="4">
        <v>1</v>
      </c>
      <c r="AK8" s="4">
        <v>0.75</v>
      </c>
      <c r="AL8" s="4">
        <v>0.5</v>
      </c>
      <c r="AM8" s="5">
        <v>1</v>
      </c>
      <c r="AN8" s="5">
        <v>0.75</v>
      </c>
      <c r="AO8" s="5">
        <v>0.5</v>
      </c>
      <c r="AP8" s="6">
        <v>1</v>
      </c>
      <c r="AQ8" s="6">
        <v>0.75</v>
      </c>
      <c r="AR8" s="6">
        <v>0.5</v>
      </c>
      <c r="AS8" s="21">
        <v>1</v>
      </c>
      <c r="AT8" s="7">
        <v>0.75</v>
      </c>
      <c r="AU8" s="7">
        <v>0.5</v>
      </c>
      <c r="AZ8" s="1" t="s">
        <v>7</v>
      </c>
      <c r="BA8" s="2">
        <v>1</v>
      </c>
      <c r="BB8" s="2">
        <v>0.75</v>
      </c>
      <c r="BC8" s="2">
        <v>0.5</v>
      </c>
      <c r="BD8" s="3">
        <v>1</v>
      </c>
      <c r="BE8" s="3">
        <v>0.75</v>
      </c>
      <c r="BF8" s="3">
        <v>0.5</v>
      </c>
      <c r="BG8" s="4">
        <v>1</v>
      </c>
      <c r="BH8" s="4">
        <v>0.75</v>
      </c>
      <c r="BI8" s="4">
        <v>0.5</v>
      </c>
      <c r="BJ8" s="5">
        <v>1</v>
      </c>
      <c r="BK8" s="5">
        <v>0.75</v>
      </c>
      <c r="BL8" s="5">
        <v>0.5</v>
      </c>
      <c r="BM8" s="6">
        <v>1</v>
      </c>
      <c r="BN8" s="6">
        <v>0.75</v>
      </c>
      <c r="BO8" s="6">
        <v>0.5</v>
      </c>
      <c r="BP8" s="21">
        <v>1</v>
      </c>
      <c r="BQ8" s="7">
        <v>0.75</v>
      </c>
      <c r="BR8" s="7">
        <v>0.5</v>
      </c>
      <c r="BV8" s="1" t="s">
        <v>7</v>
      </c>
      <c r="BW8" s="2">
        <v>1</v>
      </c>
      <c r="BX8" s="2">
        <v>0.75</v>
      </c>
      <c r="BY8" s="2">
        <v>0.5</v>
      </c>
      <c r="BZ8" s="3">
        <v>1</v>
      </c>
      <c r="CA8" s="3">
        <v>0.75</v>
      </c>
      <c r="CB8" s="3">
        <v>0.5</v>
      </c>
      <c r="CC8" s="4">
        <v>1</v>
      </c>
      <c r="CD8" s="4">
        <v>0.75</v>
      </c>
      <c r="CE8" s="4">
        <v>0.5</v>
      </c>
      <c r="CF8" s="5">
        <v>1</v>
      </c>
      <c r="CG8" s="5">
        <v>0.75</v>
      </c>
      <c r="CH8" s="5">
        <v>0.5</v>
      </c>
      <c r="CI8" s="6">
        <v>1</v>
      </c>
      <c r="CJ8" s="6">
        <v>0.75</v>
      </c>
      <c r="CK8" s="6">
        <v>0.5</v>
      </c>
      <c r="CL8" s="21">
        <v>1</v>
      </c>
      <c r="CM8" s="7">
        <v>0.75</v>
      </c>
      <c r="CN8" s="7">
        <v>0.5</v>
      </c>
      <c r="CS8" s="1" t="s">
        <v>7</v>
      </c>
      <c r="CT8" s="2">
        <v>1</v>
      </c>
      <c r="CU8" s="2">
        <v>0.75</v>
      </c>
      <c r="CV8" s="2">
        <v>0.5</v>
      </c>
      <c r="CW8" s="3">
        <v>1</v>
      </c>
      <c r="CX8" s="3">
        <v>0.75</v>
      </c>
      <c r="CY8" s="3">
        <v>0.5</v>
      </c>
      <c r="CZ8" s="4">
        <v>1</v>
      </c>
      <c r="DA8" s="4">
        <v>0.75</v>
      </c>
      <c r="DB8" s="4">
        <v>0.5</v>
      </c>
      <c r="DC8" s="5">
        <v>1</v>
      </c>
      <c r="DD8" s="5">
        <v>0.75</v>
      </c>
      <c r="DE8" s="5">
        <v>0.5</v>
      </c>
      <c r="DF8" s="6">
        <v>1</v>
      </c>
      <c r="DG8" s="6">
        <v>0.75</v>
      </c>
      <c r="DH8" s="6">
        <v>0.5</v>
      </c>
      <c r="DI8" s="21">
        <v>1</v>
      </c>
      <c r="DJ8" s="7">
        <v>0.75</v>
      </c>
      <c r="DK8" s="7">
        <v>0.5</v>
      </c>
    </row>
    <row r="9" spans="6:115" ht="15.75" x14ac:dyDescent="0.25">
      <c r="F9" s="1">
        <v>1</v>
      </c>
      <c r="G9" s="15">
        <v>5.0309982201964885E-2</v>
      </c>
      <c r="H9" s="15">
        <v>0.10300437625821116</v>
      </c>
      <c r="I9" s="15">
        <v>5.1900717350935342E-2</v>
      </c>
      <c r="J9" s="16">
        <v>0.14331634356893003</v>
      </c>
      <c r="K9" s="16">
        <v>9.1207033282089178E-2</v>
      </c>
      <c r="L9" s="16">
        <v>0.70896666441116762</v>
      </c>
      <c r="M9" s="17">
        <v>0.95044212961005647</v>
      </c>
      <c r="N9" s="17">
        <v>0.59711976750977025</v>
      </c>
      <c r="O9" s="17">
        <v>0.83776764600978315</v>
      </c>
      <c r="P9" s="18">
        <v>0.41924985168301299</v>
      </c>
      <c r="Q9" s="18">
        <v>0.85836980215179637</v>
      </c>
      <c r="R9" s="18">
        <v>0.39923628731483646</v>
      </c>
      <c r="S9" s="19">
        <v>4.425052190802909E-4</v>
      </c>
      <c r="T9" s="19">
        <v>9.0737314512068235E-4</v>
      </c>
      <c r="U9" s="19">
        <v>4.513020119715217E-4</v>
      </c>
      <c r="V9" s="20">
        <v>2.6771362409416799E-4</v>
      </c>
      <c r="W9" s="20">
        <v>6.6265173690560619E-4</v>
      </c>
      <c r="X9" s="20">
        <v>2.9304411700155075E-3</v>
      </c>
      <c r="AC9" s="1">
        <v>1</v>
      </c>
      <c r="AD9" s="15">
        <v>5.8805579286347895E-3</v>
      </c>
      <c r="AE9" s="15">
        <v>0.6368555236607959</v>
      </c>
      <c r="AF9" s="15">
        <v>1.3270989126297761</v>
      </c>
      <c r="AG9" s="16">
        <v>0.14823632385553001</v>
      </c>
      <c r="AH9" s="16">
        <v>0.26779508378195055</v>
      </c>
      <c r="AI9" s="16">
        <v>0.66703833238305998</v>
      </c>
      <c r="AJ9" s="17">
        <v>1.1100746749581973</v>
      </c>
      <c r="AK9" s="17">
        <v>0.71236054456280806</v>
      </c>
      <c r="AL9" s="17">
        <v>0.84608364766551103</v>
      </c>
      <c r="AM9" s="18">
        <v>5.0694464902283999E-2</v>
      </c>
      <c r="AN9" s="18">
        <v>0.35694263710694313</v>
      </c>
      <c r="AO9" s="18">
        <v>1.7121662946881489E-2</v>
      </c>
      <c r="AP9" s="19">
        <v>5.1987189226165853E-5</v>
      </c>
      <c r="AQ9" s="19">
        <v>1.1601946300775492E-3</v>
      </c>
      <c r="AR9" s="19">
        <v>1.7258744861265995E-3</v>
      </c>
      <c r="AS9" s="20">
        <v>3.67585090233713E-4</v>
      </c>
      <c r="AT9" s="20">
        <v>2.8510355198188009E-3</v>
      </c>
      <c r="AU9" s="20">
        <v>2.5048707194449404E-3</v>
      </c>
      <c r="AZ9" s="1">
        <v>1</v>
      </c>
      <c r="BA9" s="15">
        <v>4.8552702123436035E-2</v>
      </c>
      <c r="BB9" s="15">
        <v>0.76057801612852605</v>
      </c>
      <c r="BC9" s="15">
        <v>1.1059526922718756</v>
      </c>
      <c r="BD9" s="16">
        <v>1.0679932745469609</v>
      </c>
      <c r="BE9" s="16">
        <v>1.6040446379521636</v>
      </c>
      <c r="BF9" s="16">
        <v>0.29263470572125366</v>
      </c>
      <c r="BG9" s="17">
        <v>0.31399816249644541</v>
      </c>
      <c r="BH9" s="17">
        <v>9.6657360280209669E-3</v>
      </c>
      <c r="BI9" s="17">
        <v>1.228268896478641</v>
      </c>
      <c r="BJ9" s="18">
        <v>0.51651810769601181</v>
      </c>
      <c r="BK9" s="18">
        <v>1.5531624054195707</v>
      </c>
      <c r="BL9" s="18">
        <v>1.2317924284324613</v>
      </c>
      <c r="BM9" s="19">
        <v>4.3967400762690007E-4</v>
      </c>
      <c r="BN9" s="19">
        <v>7.3476610763234529E-4</v>
      </c>
      <c r="BO9" s="19">
        <v>2.24569417991205E-3</v>
      </c>
      <c r="BP9" s="20">
        <v>2.5212532021198224E-3</v>
      </c>
      <c r="BQ9" s="20">
        <v>2.7315434699833885E-3</v>
      </c>
      <c r="BR9" s="20">
        <v>3.1143870657299733E-3</v>
      </c>
      <c r="BV9" s="1">
        <v>1</v>
      </c>
      <c r="BW9" s="15">
        <v>5.0894963487308278E-2</v>
      </c>
      <c r="BX9" s="15">
        <v>0.42310001731115227</v>
      </c>
      <c r="BY9" s="15">
        <v>0.77664958321287725</v>
      </c>
      <c r="BZ9" s="16">
        <v>0.66373880276530839</v>
      </c>
      <c r="CA9" s="16">
        <v>1.3556638379111983</v>
      </c>
      <c r="CB9" s="16">
        <v>0.62245003978330704</v>
      </c>
      <c r="CC9" s="17">
        <v>1.029891072593524</v>
      </c>
      <c r="CD9" s="17">
        <v>0.77258804956697436</v>
      </c>
      <c r="CE9" s="17">
        <v>0.23879964439253035</v>
      </c>
      <c r="CF9" s="18">
        <v>0.62833288255941344</v>
      </c>
      <c r="CG9" s="18">
        <v>0.43573960733089323</v>
      </c>
      <c r="CH9" s="18">
        <v>0.18377375052698008</v>
      </c>
      <c r="CI9" s="19">
        <v>4.6748678721875159E-4</v>
      </c>
      <c r="CJ9" s="19">
        <v>1.0662368097991148E-5</v>
      </c>
      <c r="CK9" s="19">
        <v>5.7959094839021841E-4</v>
      </c>
      <c r="CL9" s="20">
        <v>1.9186186363091551E-3</v>
      </c>
      <c r="CM9" s="20">
        <v>5.7204987466374924E-3</v>
      </c>
      <c r="CN9" s="20">
        <v>5.9010037464701792E-4</v>
      </c>
      <c r="CS9" s="1">
        <v>1</v>
      </c>
      <c r="CT9" s="15">
        <v>4.212014080670512E-2</v>
      </c>
      <c r="CU9" s="15">
        <v>0.61756783051490372</v>
      </c>
      <c r="CV9" s="15">
        <v>1.0536893868457373</v>
      </c>
      <c r="CW9" s="16">
        <v>0.6794109494776468</v>
      </c>
      <c r="CX9" s="16">
        <v>1.1103290966147819</v>
      </c>
      <c r="CY9" s="16">
        <v>8.390599886390171E-2</v>
      </c>
      <c r="CZ9" s="17">
        <v>0.91670585697564921</v>
      </c>
      <c r="DA9" s="17">
        <v>7.394116109038007E-2</v>
      </c>
      <c r="DB9" s="17">
        <v>1.3311040314761058</v>
      </c>
      <c r="DC9" s="18">
        <v>0.54000180521413232</v>
      </c>
      <c r="DD9" s="18">
        <v>0.91164797486069149</v>
      </c>
      <c r="DE9" s="18">
        <v>0.46565326209391927</v>
      </c>
      <c r="DF9" s="19">
        <v>3.8818419450858954E-4</v>
      </c>
      <c r="DG9" s="19">
        <v>2.2193068074971567E-4</v>
      </c>
      <c r="DH9" s="19">
        <v>1.1823521588969488E-3</v>
      </c>
      <c r="DI9" s="20">
        <v>1.5759028664645847E-3</v>
      </c>
      <c r="DJ9" s="20">
        <v>1.5151310615673097E-3</v>
      </c>
      <c r="DK9" s="20">
        <v>3.6073225154434896E-3</v>
      </c>
    </row>
    <row r="10" spans="6:115" ht="15.75" x14ac:dyDescent="0.25">
      <c r="F10" s="1">
        <v>2</v>
      </c>
      <c r="G10" s="15">
        <v>6.3994435869234936E-2</v>
      </c>
      <c r="H10" s="15">
        <v>9.8764555375305152E-2</v>
      </c>
      <c r="I10" s="15">
        <v>3.6368764656759589E-2</v>
      </c>
      <c r="J10" s="16">
        <v>0.10291224118378242</v>
      </c>
      <c r="K10" s="16">
        <v>9.1431447239550004E-2</v>
      </c>
      <c r="L10" s="16">
        <v>0.64498969547285345</v>
      </c>
      <c r="M10" s="17">
        <v>1.0319696583429572</v>
      </c>
      <c r="N10" s="17">
        <v>0.57037976320700923</v>
      </c>
      <c r="O10" s="17">
        <v>0.87567858101268503</v>
      </c>
      <c r="P10" s="18">
        <v>0.53328696557701338</v>
      </c>
      <c r="Q10" s="18">
        <v>0.82303796146078323</v>
      </c>
      <c r="R10" s="18">
        <v>0.27975972812885652</v>
      </c>
      <c r="S10" s="19">
        <v>5.6279088079991279E-4</v>
      </c>
      <c r="T10" s="19">
        <v>8.6998732641740961E-4</v>
      </c>
      <c r="U10" s="19">
        <v>3.1629322057680215E-4</v>
      </c>
      <c r="V10" s="20">
        <v>1.120098518736512E-4</v>
      </c>
      <c r="W10" s="20">
        <v>6.4892883897238463E-4</v>
      </c>
      <c r="X10" s="20">
        <v>2.6236674544541927E-3</v>
      </c>
      <c r="AC10" s="1">
        <v>2</v>
      </c>
      <c r="AD10" s="15">
        <v>6.228112348781906E-4</v>
      </c>
      <c r="AE10" s="15">
        <v>0.63690499854799254</v>
      </c>
      <c r="AF10" s="15">
        <v>1.343090302110683</v>
      </c>
      <c r="AG10" s="16">
        <v>9.9864532559492805E-2</v>
      </c>
      <c r="AH10" s="16">
        <v>0.33290249023407686</v>
      </c>
      <c r="AI10" s="16">
        <v>0.5704939171727903</v>
      </c>
      <c r="AJ10" s="17">
        <v>1.2087171232120919</v>
      </c>
      <c r="AK10" s="17">
        <v>0.67640630410939429</v>
      </c>
      <c r="AL10" s="17">
        <v>0.87909884218333834</v>
      </c>
      <c r="AM10" s="18">
        <v>5.369062369812853E-3</v>
      </c>
      <c r="AN10" s="18">
        <v>0.35651612945872524</v>
      </c>
      <c r="AO10" s="18">
        <v>0.1401323512615503</v>
      </c>
      <c r="AP10" s="19">
        <v>5.5056856066437732E-6</v>
      </c>
      <c r="AQ10" s="19">
        <v>1.1597550463490201E-3</v>
      </c>
      <c r="AR10" s="19">
        <v>1.5851351323418195E-3</v>
      </c>
      <c r="AS10" s="20">
        <v>2.56248083733146E-4</v>
      </c>
      <c r="AT10" s="20">
        <v>3.0561517191444176E-3</v>
      </c>
      <c r="AU10" s="20">
        <v>2.9311785049734862E-3</v>
      </c>
      <c r="AZ10" s="1">
        <v>2</v>
      </c>
      <c r="BA10" s="15">
        <v>8.1412505562551099E-2</v>
      </c>
      <c r="BB10" s="15">
        <v>0.75389147439807513</v>
      </c>
      <c r="BC10" s="15">
        <v>1.1367453220093682</v>
      </c>
      <c r="BD10" s="16">
        <v>1.0046505724297889</v>
      </c>
      <c r="BE10" s="16">
        <v>1.5206088381549223</v>
      </c>
      <c r="BF10" s="16">
        <v>8.1118843500447041E-2</v>
      </c>
      <c r="BG10" s="17">
        <v>0.52124844936226278</v>
      </c>
      <c r="BH10" s="17">
        <v>0.13222531216280706</v>
      </c>
      <c r="BI10" s="17">
        <v>1.2039388027807889</v>
      </c>
      <c r="BJ10" s="18">
        <v>0.8660904847079185</v>
      </c>
      <c r="BK10" s="18">
        <v>1.4804826040017467</v>
      </c>
      <c r="BL10" s="18">
        <v>0.90765948382730621</v>
      </c>
      <c r="BM10" s="19">
        <v>7.369972924348156E-4</v>
      </c>
      <c r="BN10" s="19">
        <v>6.7354161202481944E-4</v>
      </c>
      <c r="BO10" s="19">
        <v>1.9645161105314997E-3</v>
      </c>
      <c r="BP10" s="20">
        <v>2.2824590837748904E-3</v>
      </c>
      <c r="BQ10" s="20">
        <v>2.4825753112803768E-3</v>
      </c>
      <c r="BR10" s="20">
        <v>4.039476166523337E-3</v>
      </c>
      <c r="BV10" s="1">
        <v>2</v>
      </c>
      <c r="BW10" s="15">
        <v>1.8043666576215537E-2</v>
      </c>
      <c r="BX10" s="15">
        <v>0.42273446627710332</v>
      </c>
      <c r="BY10" s="15">
        <v>0.727893230832514</v>
      </c>
      <c r="BZ10" s="16">
        <v>0.50357283888903015</v>
      </c>
      <c r="CA10" s="16">
        <v>1.2186591589522755</v>
      </c>
      <c r="CB10" s="16">
        <v>0.98977686685833388</v>
      </c>
      <c r="CC10" s="17">
        <v>0.81916907296762198</v>
      </c>
      <c r="CD10" s="17">
        <v>0.8874234944376348</v>
      </c>
      <c r="CE10" s="17">
        <v>0.17441898630120148</v>
      </c>
      <c r="CF10" s="18">
        <v>0.22276131575573024</v>
      </c>
      <c r="CG10" s="18">
        <v>0.43138780930663334</v>
      </c>
      <c r="CH10" s="18">
        <v>0.3188690575180585</v>
      </c>
      <c r="CI10" s="19">
        <v>1.657913809913758E-4</v>
      </c>
      <c r="CJ10" s="19">
        <v>7.2996663503799297E-6</v>
      </c>
      <c r="CK10" s="19">
        <v>1.0228043432792822E-3</v>
      </c>
      <c r="CL10" s="20">
        <v>1.4009047024700072E-3</v>
      </c>
      <c r="CM10" s="20">
        <v>5.2797183503880962E-3</v>
      </c>
      <c r="CN10" s="20">
        <v>1.0034006278691887E-3</v>
      </c>
      <c r="CS10" s="1">
        <v>2</v>
      </c>
      <c r="CT10" s="15">
        <v>4.2433084659574717E-2</v>
      </c>
      <c r="CU10" s="15">
        <v>0.6171647933125517</v>
      </c>
      <c r="CV10" s="15">
        <v>1.0546213238010902</v>
      </c>
      <c r="CW10" s="16">
        <v>0.70729505182413854</v>
      </c>
      <c r="CX10" s="16">
        <v>1.1091197860045423</v>
      </c>
      <c r="CY10" s="16">
        <v>9.1029916173560821E-2</v>
      </c>
      <c r="CZ10" s="17">
        <v>0.93705459332839325</v>
      </c>
      <c r="DA10" s="17">
        <v>7.1630061490493516E-2</v>
      </c>
      <c r="DB10" s="17">
        <v>1.3440890606407903</v>
      </c>
      <c r="DC10" s="18">
        <v>0.54401390589187593</v>
      </c>
      <c r="DD10" s="18">
        <v>0.90627414549610885</v>
      </c>
      <c r="DE10" s="18">
        <v>0.45355018475160053</v>
      </c>
      <c r="DF10" s="19">
        <v>3.910670987282705E-4</v>
      </c>
      <c r="DG10" s="19">
        <v>2.1817853524375153E-4</v>
      </c>
      <c r="DH10" s="19">
        <v>1.173669833925195E-3</v>
      </c>
      <c r="DI10" s="20">
        <v>1.6441012531088761E-3</v>
      </c>
      <c r="DJ10" s="20">
        <v>1.5126447663947884E-3</v>
      </c>
      <c r="DK10" s="20">
        <v>3.5843975226396152E-3</v>
      </c>
    </row>
    <row r="11" spans="6:115" ht="15.75" x14ac:dyDescent="0.25">
      <c r="F11" s="1">
        <v>3</v>
      </c>
      <c r="G11" s="15">
        <v>4.6882943673594128E-2</v>
      </c>
      <c r="H11" s="15">
        <v>0.10455036726092092</v>
      </c>
      <c r="I11" s="15">
        <v>5.8088671750639607E-2</v>
      </c>
      <c r="J11" s="16">
        <v>0.13227844614431933</v>
      </c>
      <c r="K11" s="16">
        <v>7.6325655213988083E-2</v>
      </c>
      <c r="L11" s="16">
        <v>0.73303250020799804</v>
      </c>
      <c r="M11" s="17">
        <v>0.87595915385868584</v>
      </c>
      <c r="N11" s="17">
        <v>0.6088046243684444</v>
      </c>
      <c r="O11" s="17">
        <v>0.78134493655708737</v>
      </c>
      <c r="P11" s="18">
        <v>0.39069119727990947</v>
      </c>
      <c r="Q11" s="18">
        <v>0.87125306050767382</v>
      </c>
      <c r="R11" s="18">
        <v>0.44683593654336884</v>
      </c>
      <c r="S11" s="19">
        <v>4.1237657005255274E-4</v>
      </c>
      <c r="T11" s="19">
        <v>9.2100614720547203E-4</v>
      </c>
      <c r="U11" s="19">
        <v>5.0507805109933901E-4</v>
      </c>
      <c r="V11" s="20">
        <v>2.4581536605683407E-4</v>
      </c>
      <c r="W11" s="20">
        <v>6.1717736352628883E-4</v>
      </c>
      <c r="X11" s="20">
        <v>3.0471961499688449E-3</v>
      </c>
      <c r="AC11" s="1">
        <v>3</v>
      </c>
      <c r="AD11" s="15">
        <v>1.4870296493761999E-3</v>
      </c>
      <c r="AE11" s="15">
        <v>0.64196817785206606</v>
      </c>
      <c r="AF11" s="15">
        <v>1.345120190652872</v>
      </c>
      <c r="AG11" s="16">
        <v>6.2145487231018849E-2</v>
      </c>
      <c r="AH11" s="16">
        <v>0.33503509049926916</v>
      </c>
      <c r="AI11" s="16">
        <v>0.61029716307407067</v>
      </c>
      <c r="AJ11" s="17">
        <v>1.1402608687023716</v>
      </c>
      <c r="AK11" s="17">
        <v>0.64751769575343565</v>
      </c>
      <c r="AL11" s="17">
        <v>0.74908865286215687</v>
      </c>
      <c r="AM11" s="18">
        <v>1.281922111552867E-2</v>
      </c>
      <c r="AN11" s="18">
        <v>0.31286803200981583</v>
      </c>
      <c r="AO11" s="18">
        <v>0.15574687850912111</v>
      </c>
      <c r="AP11" s="19">
        <v>1.3145537578806987E-5</v>
      </c>
      <c r="AQ11" s="19">
        <v>1.1147664493017515E-3</v>
      </c>
      <c r="AR11" s="19">
        <v>1.5672669296997732E-3</v>
      </c>
      <c r="AS11" s="20">
        <v>1.5662717064557352E-4</v>
      </c>
      <c r="AT11" s="20">
        <v>3.0789589297787186E-3</v>
      </c>
      <c r="AU11" s="20">
        <v>2.7883187106417795E-3</v>
      </c>
      <c r="AZ11" s="1">
        <v>3</v>
      </c>
      <c r="BA11" s="15">
        <v>4.7329899980238996E-2</v>
      </c>
      <c r="BB11" s="15">
        <v>0.76265984092745187</v>
      </c>
      <c r="BC11" s="15">
        <v>1.1112445886119604</v>
      </c>
      <c r="BD11" s="16">
        <v>0.96003618861567941</v>
      </c>
      <c r="BE11" s="16">
        <v>1.6666321352290163</v>
      </c>
      <c r="BF11" s="16">
        <v>0.2281724691928616</v>
      </c>
      <c r="BG11" s="17">
        <v>0.40577347891675153</v>
      </c>
      <c r="BH11" s="17">
        <v>3.0652155715408008E-2</v>
      </c>
      <c r="BI11" s="17">
        <v>1.2641700490969972</v>
      </c>
      <c r="BJ11" s="18">
        <v>0.50350957425786225</v>
      </c>
      <c r="BK11" s="18">
        <v>1.5757909358427777</v>
      </c>
      <c r="BL11" s="18">
        <v>1.1760882564317416</v>
      </c>
      <c r="BM11" s="19">
        <v>4.2860603501304606E-4</v>
      </c>
      <c r="BN11" s="19">
        <v>7.5382976420257375E-4</v>
      </c>
      <c r="BO11" s="19">
        <v>2.1973845193536956E-3</v>
      </c>
      <c r="BP11" s="20">
        <v>2.2571782534089868E-3</v>
      </c>
      <c r="BQ11" s="20">
        <v>2.9277831469722848E-3</v>
      </c>
      <c r="BR11" s="20">
        <v>3.3807043264475478E-3</v>
      </c>
      <c r="BV11" s="1">
        <v>3</v>
      </c>
      <c r="BW11" s="15">
        <v>1.9727413460541562E-2</v>
      </c>
      <c r="BX11" s="15">
        <v>0.42266134693059437</v>
      </c>
      <c r="BY11" s="15">
        <v>0.73195794393711966</v>
      </c>
      <c r="BZ11" s="16">
        <v>0.51379709305272747</v>
      </c>
      <c r="CA11" s="16">
        <v>1.2435724932848014</v>
      </c>
      <c r="CB11" s="16">
        <v>0.96461235767112719</v>
      </c>
      <c r="CC11" s="17">
        <v>0.84311406826505109</v>
      </c>
      <c r="CD11" s="17">
        <v>0.87068481185455293</v>
      </c>
      <c r="CE11" s="17">
        <v>0.16738325367157039</v>
      </c>
      <c r="CF11" s="18">
        <v>0.24354831432774254</v>
      </c>
      <c r="CG11" s="18">
        <v>0.43051734089572358</v>
      </c>
      <c r="CH11" s="18">
        <v>0.27696479870763485</v>
      </c>
      <c r="CI11" s="19">
        <v>1.8125917195610519E-4</v>
      </c>
      <c r="CJ11" s="19">
        <v>6.6270448879635069E-6</v>
      </c>
      <c r="CK11" s="19">
        <v>9.8587122309978792E-4</v>
      </c>
      <c r="CL11" s="20">
        <v>1.4328600133451941E-3</v>
      </c>
      <c r="CM11" s="20">
        <v>5.3594284610594123E-3</v>
      </c>
      <c r="CN11" s="20">
        <v>8.9134002396662471E-4</v>
      </c>
      <c r="CS11" s="1">
        <v>3</v>
      </c>
      <c r="CT11" s="15">
        <v>3.9722930439876604E-2</v>
      </c>
      <c r="CU11" s="15">
        <v>0.61796620661943202</v>
      </c>
      <c r="CV11" s="15">
        <v>1.0529790508576236</v>
      </c>
      <c r="CW11" s="16">
        <v>0.70141091206599759</v>
      </c>
      <c r="CX11" s="16">
        <v>1.1163578323190788</v>
      </c>
      <c r="CY11" s="16">
        <v>0.10129073347989197</v>
      </c>
      <c r="CZ11" s="17">
        <v>0.93848069217588803</v>
      </c>
      <c r="DA11" s="17">
        <v>8.1994933788451643E-2</v>
      </c>
      <c r="DB11" s="17">
        <v>1.367527990874136</v>
      </c>
      <c r="DC11" s="18">
        <v>0.50926833897279489</v>
      </c>
      <c r="DD11" s="18">
        <v>0.91695965625445097</v>
      </c>
      <c r="DE11" s="18">
        <v>0.47487840479663956</v>
      </c>
      <c r="DF11" s="19">
        <v>3.660999930101827E-4</v>
      </c>
      <c r="DG11" s="19">
        <v>2.2563946285547587E-4</v>
      </c>
      <c r="DH11" s="19">
        <v>1.1889698442345553E-3</v>
      </c>
      <c r="DI11" s="20">
        <v>1.6362939427322365E-3</v>
      </c>
      <c r="DJ11" s="20">
        <v>1.5324567149025414E-3</v>
      </c>
      <c r="DK11" s="20">
        <v>3.540201551166855E-3</v>
      </c>
    </row>
    <row r="12" spans="6:115" ht="15.75" x14ac:dyDescent="0.25">
      <c r="F12" s="1">
        <v>4</v>
      </c>
      <c r="G12" s="15">
        <v>4.9127012558660983E-2</v>
      </c>
      <c r="H12" s="15">
        <v>0.10526188551674001</v>
      </c>
      <c r="I12" s="15">
        <v>4.9236472714669619E-2</v>
      </c>
      <c r="J12" s="16">
        <v>0.1360479445415711</v>
      </c>
      <c r="K12" s="16">
        <v>8.6790536045382172E-2</v>
      </c>
      <c r="L12" s="16">
        <v>0.71385492117131089</v>
      </c>
      <c r="M12" s="17">
        <v>0.93499022712132607</v>
      </c>
      <c r="N12" s="17">
        <v>0.59947511276797549</v>
      </c>
      <c r="O12" s="17">
        <v>0.82697121586864253</v>
      </c>
      <c r="P12" s="18">
        <v>0.40939177132213328</v>
      </c>
      <c r="Q12" s="18">
        <v>0.8771823793061293</v>
      </c>
      <c r="R12" s="18">
        <v>0.37874209780510015</v>
      </c>
      <c r="S12" s="19">
        <v>4.3210543002736301E-4</v>
      </c>
      <c r="T12" s="19">
        <v>9.2728066565994638E-4</v>
      </c>
      <c r="U12" s="19">
        <v>4.2814650837885715E-4</v>
      </c>
      <c r="V12" s="20">
        <v>2.5020062785607866E-4</v>
      </c>
      <c r="W12" s="20">
        <v>6.5530289741544401E-4</v>
      </c>
      <c r="X12" s="20">
        <v>2.9391153845594875E-3</v>
      </c>
      <c r="AC12" s="1">
        <v>4</v>
      </c>
      <c r="AD12" s="15">
        <v>2.197127733556772E-2</v>
      </c>
      <c r="AE12" s="15">
        <v>0.64114988746548385</v>
      </c>
      <c r="AF12" s="15">
        <v>1.316440308095614</v>
      </c>
      <c r="AG12" s="16">
        <v>9.5598792666620858E-2</v>
      </c>
      <c r="AH12" s="16">
        <v>0.32150499677425742</v>
      </c>
      <c r="AI12" s="16">
        <v>0.60541528451586291</v>
      </c>
      <c r="AJ12" s="17">
        <v>1.1108475640118578</v>
      </c>
      <c r="AK12" s="17">
        <v>0.70502342375324367</v>
      </c>
      <c r="AL12" s="17">
        <v>0.8297353579634501</v>
      </c>
      <c r="AM12" s="18">
        <v>0.1894075632377612</v>
      </c>
      <c r="AN12" s="18">
        <v>0.31992225948036712</v>
      </c>
      <c r="AO12" s="18">
        <v>6.4867602700709653E-2</v>
      </c>
      <c r="AP12" s="19">
        <v>1.9426877497796813E-4</v>
      </c>
      <c r="AQ12" s="19">
        <v>1.1220376334816204E-3</v>
      </c>
      <c r="AR12" s="19">
        <v>1.819654955335426E-3</v>
      </c>
      <c r="AS12" s="20">
        <v>1.9015290273005636E-4</v>
      </c>
      <c r="AT12" s="20">
        <v>3.0337662109802821E-3</v>
      </c>
      <c r="AU12" s="20">
        <v>2.6974733310629606E-3</v>
      </c>
      <c r="AZ12" s="1">
        <v>4</v>
      </c>
      <c r="BA12" s="15">
        <v>7.5391477747827174E-2</v>
      </c>
      <c r="BB12" s="15">
        <v>0.75866271426796583</v>
      </c>
      <c r="BC12" s="15">
        <v>1.143636882674917</v>
      </c>
      <c r="BD12" s="16">
        <v>0.89304786329274455</v>
      </c>
      <c r="BE12" s="16">
        <v>1.5973331831794466</v>
      </c>
      <c r="BF12" s="16">
        <v>5.9916295956033733E-2</v>
      </c>
      <c r="BG12" s="17">
        <v>0.53061910232468279</v>
      </c>
      <c r="BH12" s="17">
        <v>6.8088436598714927E-2</v>
      </c>
      <c r="BI12" s="17">
        <v>1.3536398689559628</v>
      </c>
      <c r="BJ12" s="18">
        <v>0.8020369973171213</v>
      </c>
      <c r="BK12" s="18">
        <v>1.5323439069353002</v>
      </c>
      <c r="BL12" s="18">
        <v>0.83511673997958125</v>
      </c>
      <c r="BM12" s="19">
        <v>6.8253221727043734E-4</v>
      </c>
      <c r="BN12" s="19">
        <v>7.1722803896179244E-4</v>
      </c>
      <c r="BO12" s="19">
        <v>1.9015629163806615E-3</v>
      </c>
      <c r="BP12" s="20">
        <v>2.0214421089507213E-3</v>
      </c>
      <c r="BQ12" s="20">
        <v>2.7159416907003298E-3</v>
      </c>
      <c r="BR12" s="20">
        <v>4.1467905432722718E-3</v>
      </c>
      <c r="BV12" s="1">
        <v>4</v>
      </c>
      <c r="BW12" s="15">
        <v>3.701853117412314E-2</v>
      </c>
      <c r="BX12" s="15">
        <v>0.41904930789138045</v>
      </c>
      <c r="BY12" s="15">
        <v>0.7460394991409931</v>
      </c>
      <c r="BZ12" s="16">
        <v>0.58243860450486562</v>
      </c>
      <c r="CA12" s="16">
        <v>1.2883747038499633</v>
      </c>
      <c r="CB12" s="16">
        <v>0.80943057003005137</v>
      </c>
      <c r="CC12" s="17">
        <v>0.87774240596647513</v>
      </c>
      <c r="CD12" s="17">
        <v>0.85815269539284422</v>
      </c>
      <c r="CE12" s="17">
        <v>0.20875878705038137</v>
      </c>
      <c r="CF12" s="18">
        <v>0.45701890338427098</v>
      </c>
      <c r="CG12" s="18">
        <v>0.3875168761431993</v>
      </c>
      <c r="CH12" s="18">
        <v>0.13179412650273917</v>
      </c>
      <c r="CI12" s="19">
        <v>3.4007441093830693E-4</v>
      </c>
      <c r="CJ12" s="19">
        <v>2.6598704354952041E-5</v>
      </c>
      <c r="CK12" s="19">
        <v>8.5789888139220505E-4</v>
      </c>
      <c r="CL12" s="20">
        <v>1.6633414460993645E-3</v>
      </c>
      <c r="CM12" s="20">
        <v>5.4913993042932097E-3</v>
      </c>
      <c r="CN12" s="20">
        <v>2.4272937997760202E-4</v>
      </c>
      <c r="CS12" s="1">
        <v>4</v>
      </c>
      <c r="CT12" s="15">
        <v>4.1323848990934539E-2</v>
      </c>
      <c r="CU12" s="15">
        <v>0.61724002501886577</v>
      </c>
      <c r="CV12" s="15">
        <v>1.0526236869515193</v>
      </c>
      <c r="CW12" s="16">
        <v>0.69514682830149832</v>
      </c>
      <c r="CX12" s="16">
        <v>1.1126020218790464</v>
      </c>
      <c r="CY12" s="16">
        <v>8.8779358642310957E-2</v>
      </c>
      <c r="CZ12" s="17">
        <v>0.92372979322827187</v>
      </c>
      <c r="DA12" s="17">
        <v>7.4274357402579344E-2</v>
      </c>
      <c r="DB12" s="17">
        <v>1.3353730331516125</v>
      </c>
      <c r="DC12" s="18">
        <v>0.52979293578114039</v>
      </c>
      <c r="DD12" s="18">
        <v>0.90727723491350554</v>
      </c>
      <c r="DE12" s="18">
        <v>0.47949352046027505</v>
      </c>
      <c r="DF12" s="19">
        <v>3.808485064348277E-4</v>
      </c>
      <c r="DG12" s="19">
        <v>2.1887891569505324E-4</v>
      </c>
      <c r="DH12" s="19">
        <v>1.1922804764168404E-3</v>
      </c>
      <c r="DI12" s="20">
        <v>1.6168115808682382E-3</v>
      </c>
      <c r="DJ12" s="20">
        <v>1.5231261037650379E-3</v>
      </c>
      <c r="DK12" s="20">
        <v>3.5852631781773114E-3</v>
      </c>
    </row>
    <row r="13" spans="6:115" ht="15.75" x14ac:dyDescent="0.25">
      <c r="F13" s="1">
        <v>5</v>
      </c>
      <c r="G13" s="15">
        <v>4.2533114850380416E-2</v>
      </c>
      <c r="H13" s="15">
        <v>0.10106588926062168</v>
      </c>
      <c r="I13" s="15">
        <v>6.552643255330895E-2</v>
      </c>
      <c r="J13" s="16">
        <v>0.15674676572621526</v>
      </c>
      <c r="K13" s="16">
        <v>6.0478657236574924E-2</v>
      </c>
      <c r="L13" s="16">
        <v>0.78013649074850078</v>
      </c>
      <c r="M13" s="17">
        <v>0.92501832567780973</v>
      </c>
      <c r="N13" s="17">
        <v>0.63856903827237022</v>
      </c>
      <c r="O13" s="17">
        <v>0.88010373738514736</v>
      </c>
      <c r="P13" s="18">
        <v>0.35444262375322583</v>
      </c>
      <c r="Q13" s="18">
        <v>0.84221574383849507</v>
      </c>
      <c r="R13" s="18">
        <v>0.50404948117927417</v>
      </c>
      <c r="S13" s="19">
        <v>3.741322805707048E-4</v>
      </c>
      <c r="T13" s="19">
        <v>8.9027959448251259E-4</v>
      </c>
      <c r="U13" s="19">
        <v>5.6970665476696613E-4</v>
      </c>
      <c r="V13" s="20">
        <v>3.2878036028949342E-4</v>
      </c>
      <c r="W13" s="20">
        <v>5.5121758159515355E-4</v>
      </c>
      <c r="X13" s="20">
        <v>3.2578494836222886E-3</v>
      </c>
      <c r="AC13" s="1">
        <v>5</v>
      </c>
      <c r="AD13" s="15">
        <v>3.4156400264924475E-2</v>
      </c>
      <c r="AE13" s="15">
        <v>0.64438455032908704</v>
      </c>
      <c r="AF13" s="15">
        <v>1.3084990128604268</v>
      </c>
      <c r="AG13" s="16">
        <v>2.6028805223612613E-2</v>
      </c>
      <c r="AH13" s="16">
        <v>0.3078398074541745</v>
      </c>
      <c r="AI13" s="16">
        <v>0.73834879788721497</v>
      </c>
      <c r="AJ13" s="17">
        <v>1.0456826310116158</v>
      </c>
      <c r="AK13" s="17">
        <v>0.74575599455985642</v>
      </c>
      <c r="AL13" s="17">
        <v>0.81077389277422174</v>
      </c>
      <c r="AM13" s="18">
        <v>0.29445172642191453</v>
      </c>
      <c r="AN13" s="18">
        <v>0.29203723479414712</v>
      </c>
      <c r="AO13" s="18">
        <v>0.12595448912518872</v>
      </c>
      <c r="AP13" s="19">
        <v>3.0204574629633107E-4</v>
      </c>
      <c r="AQ13" s="19">
        <v>1.0932942902389662E-3</v>
      </c>
      <c r="AR13" s="19">
        <v>1.8895138222937424E-3</v>
      </c>
      <c r="AS13" s="20">
        <v>1.5546223263662726E-4</v>
      </c>
      <c r="AT13" s="20">
        <v>3.0010285138002413E-3</v>
      </c>
      <c r="AU13" s="20">
        <v>2.1639865006977121E-3</v>
      </c>
      <c r="AZ13" s="1">
        <v>5</v>
      </c>
      <c r="BA13" s="15">
        <v>7.9962535699309972E-2</v>
      </c>
      <c r="BB13" s="15">
        <v>0.75852256120142503</v>
      </c>
      <c r="BC13" s="15">
        <v>1.1454031668029254</v>
      </c>
      <c r="BD13" s="16">
        <v>0.89307622864972358</v>
      </c>
      <c r="BE13" s="16">
        <v>1.5180348018099608</v>
      </c>
      <c r="BF13" s="16">
        <v>1.3079580721329967E-2</v>
      </c>
      <c r="BG13" s="17">
        <v>0.5595327975064609</v>
      </c>
      <c r="BH13" s="17">
        <v>0.15509217694234448</v>
      </c>
      <c r="BI13" s="17">
        <v>1.2200098722090074</v>
      </c>
      <c r="BJ13" s="18">
        <v>0.85066527339676956</v>
      </c>
      <c r="BK13" s="18">
        <v>1.5308205040380982</v>
      </c>
      <c r="BL13" s="18">
        <v>0.81652427547402839</v>
      </c>
      <c r="BM13" s="19">
        <v>7.2388173924142762E-4</v>
      </c>
      <c r="BN13" s="19">
        <v>7.1594470955738121E-4</v>
      </c>
      <c r="BO13" s="19">
        <v>1.8854268085358727E-3</v>
      </c>
      <c r="BP13" s="20">
        <v>2.0101146373990852E-3</v>
      </c>
      <c r="BQ13" s="20">
        <v>2.4593372099066535E-3</v>
      </c>
      <c r="BR13" s="20">
        <v>4.4315801564063237E-3</v>
      </c>
      <c r="BV13" s="1">
        <v>5</v>
      </c>
      <c r="BW13" s="15">
        <v>2.3398392594930095E-2</v>
      </c>
      <c r="BX13" s="15">
        <v>0.42230135848862371</v>
      </c>
      <c r="BY13" s="15">
        <v>0.73534463580248344</v>
      </c>
      <c r="BZ13" s="16">
        <v>0.54637883257795072</v>
      </c>
      <c r="CA13" s="16">
        <v>1.2541934194831827</v>
      </c>
      <c r="CB13" s="16">
        <v>0.90937515205514607</v>
      </c>
      <c r="CC13" s="17">
        <v>0.83233395736875115</v>
      </c>
      <c r="CD13" s="17">
        <v>0.88214180759812566</v>
      </c>
      <c r="CE13" s="17">
        <v>0.18914836347078243</v>
      </c>
      <c r="CF13" s="18">
        <v>0.28886904438183597</v>
      </c>
      <c r="CG13" s="18">
        <v>0.42623176420568493</v>
      </c>
      <c r="CH13" s="18">
        <v>0.24205044958014446</v>
      </c>
      <c r="CI13" s="19">
        <v>2.1498092586635931E-4</v>
      </c>
      <c r="CJ13" s="19">
        <v>3.315542382864578E-6</v>
      </c>
      <c r="CK13" s="19">
        <v>9.5509648357983146E-4</v>
      </c>
      <c r="CL13" s="20">
        <v>1.5301598232365654E-3</v>
      </c>
      <c r="CM13" s="20">
        <v>5.392335412365501E-3</v>
      </c>
      <c r="CN13" s="20">
        <v>6.6660512146499151E-4</v>
      </c>
      <c r="CS13" s="1">
        <v>5</v>
      </c>
      <c r="CT13" s="15">
        <v>4.1097135341351725E-2</v>
      </c>
      <c r="CU13" s="15">
        <v>0.61758110623840989</v>
      </c>
      <c r="CV13" s="15">
        <v>1.0537911021576518</v>
      </c>
      <c r="CW13" s="16">
        <v>0.69426751170369283</v>
      </c>
      <c r="CX13" s="16">
        <v>1.1187871422376028</v>
      </c>
      <c r="CY13" s="16">
        <v>8.3081707884653175E-2</v>
      </c>
      <c r="CZ13" s="17">
        <v>0.92087906627667748</v>
      </c>
      <c r="DA13" s="17">
        <v>7.440449048603108E-2</v>
      </c>
      <c r="DB13" s="17">
        <v>1.3293159605365397</v>
      </c>
      <c r="DC13" s="18">
        <v>0.52688635053018618</v>
      </c>
      <c r="DD13" s="18">
        <v>0.91182498450740368</v>
      </c>
      <c r="DE13" s="18">
        <v>0.46433228401697735</v>
      </c>
      <c r="DF13" s="19">
        <v>3.7875992836688965E-4</v>
      </c>
      <c r="DG13" s="19">
        <v>2.2205427394328403E-4</v>
      </c>
      <c r="DH13" s="19">
        <v>1.1814045433123921E-3</v>
      </c>
      <c r="DI13" s="20">
        <v>1.6152008636547421E-3</v>
      </c>
      <c r="DJ13" s="20">
        <v>1.5411082241800766E-3</v>
      </c>
      <c r="DK13" s="20">
        <v>3.6107595827156169E-3</v>
      </c>
    </row>
    <row r="14" spans="6:115" ht="15.75" x14ac:dyDescent="0.25">
      <c r="F14" s="1">
        <v>6</v>
      </c>
      <c r="G14" s="15">
        <v>5.4193579606601511E-2</v>
      </c>
      <c r="H14" s="15">
        <v>0.1032611713546697</v>
      </c>
      <c r="I14" s="15">
        <v>4.7355200803448495E-2</v>
      </c>
      <c r="J14" s="16">
        <v>0.14350665828211484</v>
      </c>
      <c r="K14" s="16">
        <v>9.4691553942115189E-2</v>
      </c>
      <c r="L14" s="16">
        <v>0.71553978654575523</v>
      </c>
      <c r="M14" s="17">
        <v>0.95738520970698793</v>
      </c>
      <c r="N14" s="17">
        <v>0.59659114962336979</v>
      </c>
      <c r="O14" s="17">
        <v>0.84895183986736766</v>
      </c>
      <c r="P14" s="18">
        <v>0.45161316338837387</v>
      </c>
      <c r="Q14" s="18">
        <v>0.86050976128896917</v>
      </c>
      <c r="R14" s="18">
        <v>0.36427077541121833</v>
      </c>
      <c r="S14" s="19">
        <v>4.7664518944789958E-4</v>
      </c>
      <c r="T14" s="19">
        <v>9.0963761037254898E-4</v>
      </c>
      <c r="U14" s="19">
        <v>4.1179524052692429E-4</v>
      </c>
      <c r="V14" s="20">
        <v>2.5707312088851797E-4</v>
      </c>
      <c r="W14" s="20">
        <v>6.7541379527724654E-4</v>
      </c>
      <c r="X14" s="20">
        <v>2.9384117033014467E-3</v>
      </c>
      <c r="AC14" s="1">
        <v>6</v>
      </c>
      <c r="AD14" s="15">
        <v>2.0541420299781205E-2</v>
      </c>
      <c r="AE14" s="15">
        <v>0.64025871879147678</v>
      </c>
      <c r="AF14" s="15">
        <v>1.3180087597238734</v>
      </c>
      <c r="AG14" s="16">
        <v>1.7077830453042651E-2</v>
      </c>
      <c r="AH14" s="16">
        <v>0.30825376633636609</v>
      </c>
      <c r="AI14" s="16">
        <v>0.70673738895833016</v>
      </c>
      <c r="AJ14" s="17">
        <v>1.1335143977479645</v>
      </c>
      <c r="AK14" s="17">
        <v>0.70845778886435495</v>
      </c>
      <c r="AL14" s="17">
        <v>0.84750223398909175</v>
      </c>
      <c r="AM14" s="18">
        <v>0.17708120948113248</v>
      </c>
      <c r="AN14" s="18">
        <v>0.32760474804937845</v>
      </c>
      <c r="AO14" s="18">
        <v>5.2802590175541619E-2</v>
      </c>
      <c r="AP14" s="19">
        <v>1.8162346348937763E-4</v>
      </c>
      <c r="AQ14" s="19">
        <v>1.1299562650408659E-3</v>
      </c>
      <c r="AR14" s="19">
        <v>1.8058560964079315E-3</v>
      </c>
      <c r="AS14" s="20">
        <v>8.9452870702944054E-6</v>
      </c>
      <c r="AT14" s="20">
        <v>2.9892189737917851E-3</v>
      </c>
      <c r="AU14" s="20">
        <v>2.3199283824321126E-3</v>
      </c>
      <c r="AZ14" s="1">
        <v>6</v>
      </c>
      <c r="BA14" s="15">
        <v>7.2029858755081819E-2</v>
      </c>
      <c r="BB14" s="15">
        <v>0.76262203258005579</v>
      </c>
      <c r="BC14" s="15">
        <v>1.1439249048159839</v>
      </c>
      <c r="BD14" s="16">
        <v>0.90149727135517854</v>
      </c>
      <c r="BE14" s="16">
        <v>1.5332588828037423</v>
      </c>
      <c r="BF14" s="16">
        <v>2.2945752120642256E-2</v>
      </c>
      <c r="BG14" s="17">
        <v>0.49413662988154561</v>
      </c>
      <c r="BH14" s="17">
        <v>0.11494221616596458</v>
      </c>
      <c r="BI14" s="17">
        <v>1.2230212686697397</v>
      </c>
      <c r="BJ14" s="18">
        <v>0.76627509313903774</v>
      </c>
      <c r="BK14" s="18">
        <v>1.5753799755449542</v>
      </c>
      <c r="BL14" s="18">
        <v>0.83208492796822198</v>
      </c>
      <c r="BM14" s="19">
        <v>6.5212079863063988E-4</v>
      </c>
      <c r="BN14" s="19">
        <v>7.5348353900794862E-4</v>
      </c>
      <c r="BO14" s="19">
        <v>1.8989316937148004E-3</v>
      </c>
      <c r="BP14" s="20">
        <v>2.0507239459078841E-3</v>
      </c>
      <c r="BQ14" s="20">
        <v>2.4954989360486124E-3</v>
      </c>
      <c r="BR14" s="20">
        <v>4.2887137919336293E-3</v>
      </c>
      <c r="BV14" s="1">
        <v>6</v>
      </c>
      <c r="BW14" s="15">
        <v>0.1000833594202452</v>
      </c>
      <c r="BX14" s="15">
        <v>0.40699307299523063</v>
      </c>
      <c r="BY14" s="15">
        <v>0.8045847502438036</v>
      </c>
      <c r="BZ14" s="16">
        <v>1.0034728656350502</v>
      </c>
      <c r="CA14" s="16">
        <v>1.2785632434331999</v>
      </c>
      <c r="CB14" s="16">
        <v>0.45295204685673623</v>
      </c>
      <c r="CC14" s="17">
        <v>1.0192267103890518</v>
      </c>
      <c r="CD14" s="17">
        <v>0.82484343859409792</v>
      </c>
      <c r="CE14" s="17">
        <v>0.37552536180539081</v>
      </c>
      <c r="CF14" s="18">
        <v>1.2355970298796224</v>
      </c>
      <c r="CG14" s="18">
        <v>0.24399027023667552</v>
      </c>
      <c r="CH14" s="18">
        <v>0.47176516321698458</v>
      </c>
      <c r="CI14" s="19">
        <v>9.1884646066631159E-4</v>
      </c>
      <c r="CJ14" s="19">
        <v>1.3748189611095807E-4</v>
      </c>
      <c r="CK14" s="19">
        <v>3.2545354904067736E-4</v>
      </c>
      <c r="CL14" s="20">
        <v>2.9611795598157853E-3</v>
      </c>
      <c r="CM14" s="20">
        <v>5.420580796000829E-3</v>
      </c>
      <c r="CN14" s="20">
        <v>1.3449438628275745E-3</v>
      </c>
      <c r="CS14" s="1">
        <v>6</v>
      </c>
      <c r="CT14" s="15">
        <v>3.6638605778695196E-2</v>
      </c>
      <c r="CU14" s="15">
        <v>0.61709180577139222</v>
      </c>
      <c r="CV14" s="15">
        <v>1.047282922210566</v>
      </c>
      <c r="CW14" s="16">
        <v>0.72579649809509206</v>
      </c>
      <c r="CX14" s="16">
        <v>1.1261320642206984</v>
      </c>
      <c r="CY14" s="16">
        <v>0.1239367584569521</v>
      </c>
      <c r="CZ14" s="17">
        <v>0.91063358853321197</v>
      </c>
      <c r="DA14" s="17">
        <v>0.11557830170926535</v>
      </c>
      <c r="DB14" s="17">
        <v>1.3972454703958002</v>
      </c>
      <c r="DC14" s="18">
        <v>0.46972571511147687</v>
      </c>
      <c r="DD14" s="18">
        <v>0.90530097828047562</v>
      </c>
      <c r="DE14" s="18">
        <v>0.54885410151168956</v>
      </c>
      <c r="DF14" s="19">
        <v>3.3768422248858787E-4</v>
      </c>
      <c r="DG14" s="19">
        <v>2.1749904818590959E-4</v>
      </c>
      <c r="DH14" s="19">
        <v>1.2420331089039172E-3</v>
      </c>
      <c r="DI14" s="20">
        <v>1.7043029928748288E-3</v>
      </c>
      <c r="DJ14" s="20">
        <v>1.565199702008746E-3</v>
      </c>
      <c r="DK14" s="20">
        <v>3.434897556711114E-3</v>
      </c>
    </row>
    <row r="15" spans="6:115" ht="15.75" x14ac:dyDescent="0.25">
      <c r="F15" s="1">
        <v>7</v>
      </c>
      <c r="G15" s="15">
        <v>3.6196674642782457E-2</v>
      </c>
      <c r="H15" s="15">
        <v>0.10972209222384036</v>
      </c>
      <c r="I15" s="15">
        <v>5.5644254744417594E-2</v>
      </c>
      <c r="J15" s="16">
        <v>0.20291131100619619</v>
      </c>
      <c r="K15" s="16">
        <v>4.5708076565628669E-2</v>
      </c>
      <c r="L15" s="16">
        <v>0.85182951199749313</v>
      </c>
      <c r="M15" s="17">
        <v>0.87035583371085412</v>
      </c>
      <c r="N15" s="17">
        <v>0.63339958685827469</v>
      </c>
      <c r="O15" s="17">
        <v>0.79908864644434774</v>
      </c>
      <c r="P15" s="18">
        <v>0.30163895535646496</v>
      </c>
      <c r="Q15" s="18">
        <v>0.91435076853205821</v>
      </c>
      <c r="R15" s="18">
        <v>0.42803272880323751</v>
      </c>
      <c r="S15" s="19">
        <v>3.1841548104083461E-4</v>
      </c>
      <c r="T15" s="19">
        <v>9.6661500177341875E-4</v>
      </c>
      <c r="U15" s="19">
        <v>4.8383578945720984E-4</v>
      </c>
      <c r="V15" s="20">
        <v>4.7993213870034523E-4</v>
      </c>
      <c r="W15" s="20">
        <v>5.3040675706839114E-4</v>
      </c>
      <c r="X15" s="20">
        <v>3.4973095322544667E-3</v>
      </c>
      <c r="AC15" s="1">
        <v>7</v>
      </c>
      <c r="AD15" s="15">
        <v>3.5411538838788148E-3</v>
      </c>
      <c r="AE15" s="15">
        <v>0.63887826759040678</v>
      </c>
      <c r="AF15" s="15">
        <v>1.3324261810822653</v>
      </c>
      <c r="AG15" s="16">
        <v>4.7955266367817197E-2</v>
      </c>
      <c r="AH15" s="16">
        <v>0.33560109725961962</v>
      </c>
      <c r="AI15" s="16">
        <v>0.6189072908861748</v>
      </c>
      <c r="AJ15" s="17">
        <v>1.0754876533438837</v>
      </c>
      <c r="AK15" s="17">
        <v>0.66834424995353536</v>
      </c>
      <c r="AL15" s="17">
        <v>0.71450523941433286</v>
      </c>
      <c r="AM15" s="18">
        <v>3.0527188654387648E-2</v>
      </c>
      <c r="AN15" s="18">
        <v>0.33950518943789892</v>
      </c>
      <c r="AO15" s="18">
        <v>5.8100651042875248E-2</v>
      </c>
      <c r="AP15" s="19">
        <v>3.1304908888807326E-5</v>
      </c>
      <c r="AQ15" s="19">
        <v>1.1422222196820766E-3</v>
      </c>
      <c r="AR15" s="19">
        <v>1.6789945520415683E-3</v>
      </c>
      <c r="AS15" s="20">
        <v>1.1468536961178887E-4</v>
      </c>
      <c r="AT15" s="20">
        <v>3.0709185648479802E-3</v>
      </c>
      <c r="AU15" s="20">
        <v>2.7073467649897376E-3</v>
      </c>
      <c r="AZ15" s="1">
        <v>7</v>
      </c>
      <c r="BA15" s="15">
        <v>5.2469230533454259E-2</v>
      </c>
      <c r="BB15" s="15">
        <v>0.7609870249299947</v>
      </c>
      <c r="BC15" s="15">
        <v>1.11760227689749</v>
      </c>
      <c r="BD15" s="16">
        <v>1.1002773917334057</v>
      </c>
      <c r="BE15" s="16">
        <v>1.6340946428832455</v>
      </c>
      <c r="BF15" s="16">
        <v>0.29270272473904219</v>
      </c>
      <c r="BG15" s="17">
        <v>0.36632963183777167</v>
      </c>
      <c r="BH15" s="17">
        <v>5.0205844917703066E-2</v>
      </c>
      <c r="BI15" s="17">
        <v>1.3676701518231795</v>
      </c>
      <c r="BJ15" s="18">
        <v>0.55818330354734258</v>
      </c>
      <c r="BK15" s="18">
        <v>1.5576081532616617</v>
      </c>
      <c r="BL15" s="18">
        <v>1.1091652218470316</v>
      </c>
      <c r="BM15" s="19">
        <v>4.751219358091196E-4</v>
      </c>
      <c r="BN15" s="19">
        <v>7.3851141410408161E-4</v>
      </c>
      <c r="BO15" s="19">
        <v>2.1393384186850772E-3</v>
      </c>
      <c r="BP15" s="20">
        <v>2.5913491635789487E-3</v>
      </c>
      <c r="BQ15" s="20">
        <v>2.8276566206482112E-3</v>
      </c>
      <c r="BR15" s="20">
        <v>3.1589563358245254E-3</v>
      </c>
      <c r="BV15" s="1">
        <v>7</v>
      </c>
      <c r="BW15" s="15">
        <v>2.4509181047846929E-2</v>
      </c>
      <c r="BX15" s="15">
        <v>0.42234524580834143</v>
      </c>
      <c r="BY15" s="15">
        <v>0.73788827211099173</v>
      </c>
      <c r="BZ15" s="16">
        <v>0.51605549057280142</v>
      </c>
      <c r="CA15" s="16">
        <v>1.2512736388499432</v>
      </c>
      <c r="CB15" s="16">
        <v>0.93854469686270836</v>
      </c>
      <c r="CC15" s="17">
        <v>0.87272660398349899</v>
      </c>
      <c r="CD15" s="17">
        <v>0.86344534409412821</v>
      </c>
      <c r="CE15" s="17">
        <v>0.19141066251724673</v>
      </c>
      <c r="CF15" s="18">
        <v>0.30258248207215011</v>
      </c>
      <c r="CG15" s="18">
        <v>0.42675423229756249</v>
      </c>
      <c r="CH15" s="18">
        <v>0.21582739485325489</v>
      </c>
      <c r="CI15" s="19">
        <v>2.2518418303063559E-4</v>
      </c>
      <c r="CJ15" s="19">
        <v>3.7192567550192734E-6</v>
      </c>
      <c r="CK15" s="19">
        <v>9.3198117675685754E-4</v>
      </c>
      <c r="CL15" s="20">
        <v>1.451696908003286E-3</v>
      </c>
      <c r="CM15" s="20">
        <v>5.3831094352053688E-3</v>
      </c>
      <c r="CN15" s="20">
        <v>7.6869587292505148E-4</v>
      </c>
      <c r="CS15" s="1">
        <v>7</v>
      </c>
      <c r="CT15" s="15">
        <v>4.194579573704553E-2</v>
      </c>
      <c r="CU15" s="15">
        <v>0.61694189750386186</v>
      </c>
      <c r="CV15" s="15">
        <v>1.0534687437340222</v>
      </c>
      <c r="CW15" s="16">
        <v>0.69959162050833246</v>
      </c>
      <c r="CX15" s="16">
        <v>1.1170087117121756</v>
      </c>
      <c r="CY15" s="16">
        <v>9.255683047323475E-2</v>
      </c>
      <c r="CZ15" s="17">
        <v>0.92942933297104802</v>
      </c>
      <c r="DA15" s="17">
        <v>7.6139384420049055E-2</v>
      </c>
      <c r="DB15" s="17">
        <v>1.3433446910971873</v>
      </c>
      <c r="DC15" s="18">
        <v>0.53776661201340425</v>
      </c>
      <c r="DD15" s="18">
        <v>0.90330220138020856</v>
      </c>
      <c r="DE15" s="18">
        <v>0.4685187570510933</v>
      </c>
      <c r="DF15" s="19">
        <v>3.8657808344233491E-4</v>
      </c>
      <c r="DG15" s="19">
        <v>2.1610346069822484E-4</v>
      </c>
      <c r="DH15" s="19">
        <v>1.1844077409539633E-3</v>
      </c>
      <c r="DI15" s="20">
        <v>1.6262582675395931E-3</v>
      </c>
      <c r="DJ15" s="20">
        <v>1.5375939481099277E-3</v>
      </c>
      <c r="DK15" s="20">
        <v>3.5744205931486084E-3</v>
      </c>
    </row>
    <row r="16" spans="6:115" ht="15.75" x14ac:dyDescent="0.25">
      <c r="F16" s="1">
        <v>8</v>
      </c>
      <c r="G16" s="15">
        <v>5.2368986270686348E-2</v>
      </c>
      <c r="H16" s="15">
        <v>9.9671280738310691E-2</v>
      </c>
      <c r="I16" s="15">
        <v>4.6632472774448618E-2</v>
      </c>
      <c r="J16" s="16">
        <v>0.14217606268888797</v>
      </c>
      <c r="K16" s="16">
        <v>7.1609367691026493E-2</v>
      </c>
      <c r="L16" s="16">
        <v>0.71989394384942484</v>
      </c>
      <c r="M16" s="17">
        <v>1.0465015500087134</v>
      </c>
      <c r="N16" s="17">
        <v>0.60005122206647243</v>
      </c>
      <c r="O16" s="17">
        <v>0.93698654255473612</v>
      </c>
      <c r="P16" s="18">
        <v>0.43640821892245568</v>
      </c>
      <c r="Q16" s="18">
        <v>0.83059400615247747</v>
      </c>
      <c r="R16" s="18">
        <v>0.35871132903414399</v>
      </c>
      <c r="S16" s="19">
        <v>4.60605864560093E-4</v>
      </c>
      <c r="T16" s="19">
        <v>8.7798236676672747E-4</v>
      </c>
      <c r="U16" s="19">
        <v>4.0551341220618209E-4</v>
      </c>
      <c r="V16" s="20">
        <v>2.5849967506597071E-4</v>
      </c>
      <c r="W16" s="20">
        <v>5.8441920642138268E-4</v>
      </c>
      <c r="X16" s="20">
        <v>2.9524693599268792E-3</v>
      </c>
      <c r="AC16" s="1">
        <v>8</v>
      </c>
      <c r="AD16" s="15">
        <v>1.9135040990644486E-2</v>
      </c>
      <c r="AE16" s="15">
        <v>0.63845398642026818</v>
      </c>
      <c r="AF16" s="15">
        <v>1.317344316558253</v>
      </c>
      <c r="AG16" s="16">
        <v>4.8715402320173067E-2</v>
      </c>
      <c r="AH16" s="16">
        <v>0.30215427037751164</v>
      </c>
      <c r="AI16" s="16">
        <v>0.67595894689304226</v>
      </c>
      <c r="AJ16" s="17">
        <v>1.1173534939891177</v>
      </c>
      <c r="AK16" s="17">
        <v>0.70599131219816047</v>
      </c>
      <c r="AL16" s="17">
        <v>0.8195506122607461</v>
      </c>
      <c r="AM16" s="18">
        <v>0.16495724991956573</v>
      </c>
      <c r="AN16" s="18">
        <v>0.34316278573219616</v>
      </c>
      <c r="AO16" s="18">
        <v>5.7913691449488158E-2</v>
      </c>
      <c r="AP16" s="19">
        <v>1.6918613619409936E-4</v>
      </c>
      <c r="AQ16" s="19">
        <v>1.1459920878660326E-3</v>
      </c>
      <c r="AR16" s="19">
        <v>1.811701760586204E-3</v>
      </c>
      <c r="AS16" s="20">
        <v>7.6394201318996671E-5</v>
      </c>
      <c r="AT16" s="20">
        <v>2.9642821566382427E-3</v>
      </c>
      <c r="AU16" s="20">
        <v>2.4339292521614597E-3</v>
      </c>
      <c r="AZ16" s="1">
        <v>8</v>
      </c>
      <c r="BA16" s="15">
        <v>6.8169501875325667E-2</v>
      </c>
      <c r="BB16" s="15">
        <v>0.76005239261195223</v>
      </c>
      <c r="BC16" s="15">
        <v>1.1341413106497453</v>
      </c>
      <c r="BD16" s="16">
        <v>0.97065073441926153</v>
      </c>
      <c r="BE16" s="16">
        <v>1.5533519612754192</v>
      </c>
      <c r="BF16" s="16">
        <v>0.11742465427425741</v>
      </c>
      <c r="BG16" s="17">
        <v>0.50223462751912196</v>
      </c>
      <c r="BH16" s="17">
        <v>9.5550386651249736E-2</v>
      </c>
      <c r="BI16" s="17">
        <v>1.2544120974482069</v>
      </c>
      <c r="BJ16" s="18">
        <v>0.72520746675865311</v>
      </c>
      <c r="BK16" s="18">
        <v>1.5474491063263771</v>
      </c>
      <c r="BL16" s="18">
        <v>0.93507012971814418</v>
      </c>
      <c r="BM16" s="19">
        <v>6.1719494826839593E-4</v>
      </c>
      <c r="BN16" s="19">
        <v>7.2995300187295165E-4</v>
      </c>
      <c r="BO16" s="19">
        <v>1.988301011500937E-3</v>
      </c>
      <c r="BP16" s="20">
        <v>2.2314136513632565E-3</v>
      </c>
      <c r="BQ16" s="20">
        <v>2.5688959746275053E-3</v>
      </c>
      <c r="BR16" s="20">
        <v>3.8911032529790339E-3</v>
      </c>
      <c r="BV16" s="1">
        <v>8</v>
      </c>
      <c r="BW16" s="15">
        <v>1.9885380507556998E-2</v>
      </c>
      <c r="BX16" s="15">
        <v>0.42229860528186552</v>
      </c>
      <c r="BY16" s="15">
        <v>0.73142627791636528</v>
      </c>
      <c r="BZ16" s="16">
        <v>0.51460119580945918</v>
      </c>
      <c r="CA16" s="16">
        <v>1.2478091283026869</v>
      </c>
      <c r="CB16" s="16">
        <v>0.95719190519153985</v>
      </c>
      <c r="CC16" s="17">
        <v>0.84613759557219737</v>
      </c>
      <c r="CD16" s="17">
        <v>0.87481952932720386</v>
      </c>
      <c r="CE16" s="17">
        <v>0.18039568599762412</v>
      </c>
      <c r="CF16" s="18">
        <v>0.24549852478460282</v>
      </c>
      <c r="CG16" s="18">
        <v>0.42619898793479893</v>
      </c>
      <c r="CH16" s="18">
        <v>0.28244589170507334</v>
      </c>
      <c r="CI16" s="19">
        <v>1.8271031422323336E-4</v>
      </c>
      <c r="CJ16" s="19">
        <v>3.2902159645686879E-6</v>
      </c>
      <c r="CK16" s="19">
        <v>9.9070226120712146E-4</v>
      </c>
      <c r="CL16" s="20">
        <v>1.4354413772390551E-3</v>
      </c>
      <c r="CM16" s="20">
        <v>5.3718400180142734E-3</v>
      </c>
      <c r="CN16" s="20">
        <v>8.6491896671914148E-4</v>
      </c>
      <c r="CS16" s="1">
        <v>8</v>
      </c>
      <c r="CT16" s="15">
        <v>4.0612766824215163E-2</v>
      </c>
      <c r="CU16" s="15">
        <v>0.61753701003141925</v>
      </c>
      <c r="CV16" s="15">
        <v>1.0525336365962148</v>
      </c>
      <c r="CW16" s="16">
        <v>0.697609712107498</v>
      </c>
      <c r="CX16" s="16">
        <v>1.1178069032851798</v>
      </c>
      <c r="CY16" s="16">
        <v>9.3566317906811705E-2</v>
      </c>
      <c r="CZ16" s="17">
        <v>0.90613860739254659</v>
      </c>
      <c r="DA16" s="17">
        <v>8.546478747185933E-2</v>
      </c>
      <c r="DB16" s="17">
        <v>1.335438465823092</v>
      </c>
      <c r="DC16" s="18">
        <v>0.52067649774638403</v>
      </c>
      <c r="DD16" s="18">
        <v>0.91123703508096032</v>
      </c>
      <c r="DE16" s="18">
        <v>0.4806630055940474</v>
      </c>
      <c r="DF16" s="19">
        <v>3.7429769746821773E-4</v>
      </c>
      <c r="DG16" s="19">
        <v>2.2164375097988298E-4</v>
      </c>
      <c r="DH16" s="19">
        <v>1.1931193974696885E-3</v>
      </c>
      <c r="DI16" s="20">
        <v>1.6246747591037725E-3</v>
      </c>
      <c r="DJ16" s="20">
        <v>1.5382278539638472E-3</v>
      </c>
      <c r="DK16" s="20">
        <v>3.5671765053767457E-3</v>
      </c>
    </row>
    <row r="17" spans="6:115" ht="15.75" x14ac:dyDescent="0.25">
      <c r="F17" s="1">
        <v>9</v>
      </c>
      <c r="G17" s="15">
        <v>5.5692257036817558E-2</v>
      </c>
      <c r="H17" s="15">
        <v>0.10079267875953357</v>
      </c>
      <c r="I17" s="15">
        <v>4.6917649831134445E-2</v>
      </c>
      <c r="J17" s="16">
        <v>0.1259193529699939</v>
      </c>
      <c r="K17" s="16">
        <v>9.0559354937657655E-2</v>
      </c>
      <c r="L17" s="16">
        <v>0.68685249001416082</v>
      </c>
      <c r="M17" s="17">
        <v>0.98866312377552612</v>
      </c>
      <c r="N17" s="17">
        <v>0.58828636749856356</v>
      </c>
      <c r="O17" s="17">
        <v>0.86254494876860932</v>
      </c>
      <c r="P17" s="18">
        <v>0.46410214197347976</v>
      </c>
      <c r="Q17" s="18">
        <v>0.8399389896627607</v>
      </c>
      <c r="R17" s="18">
        <v>0.36090499870099607</v>
      </c>
      <c r="S17" s="19">
        <v>4.8981907062817243E-4</v>
      </c>
      <c r="T17" s="19">
        <v>8.8787048152605408E-4</v>
      </c>
      <c r="U17" s="19">
        <v>4.0799213321052186E-4</v>
      </c>
      <c r="V17" s="20">
        <v>2.0213576248462317E-4</v>
      </c>
      <c r="W17" s="20">
        <v>6.5288482429737293E-4</v>
      </c>
      <c r="X17" s="20">
        <v>2.8258672057539513E-3</v>
      </c>
      <c r="AC17" s="1">
        <v>9</v>
      </c>
      <c r="AD17" s="15">
        <v>2.2451867244048119E-2</v>
      </c>
      <c r="AE17" s="15">
        <v>0.6393057225191634</v>
      </c>
      <c r="AF17" s="15">
        <v>1.3160632760794801</v>
      </c>
      <c r="AG17" s="16">
        <v>3.198509391849174E-2</v>
      </c>
      <c r="AH17" s="16">
        <v>0.30506887405457139</v>
      </c>
      <c r="AI17" s="16">
        <v>0.68005657578976475</v>
      </c>
      <c r="AJ17" s="17">
        <v>1.1145152574988113</v>
      </c>
      <c r="AK17" s="17">
        <v>0.70881160366973273</v>
      </c>
      <c r="AL17" s="17">
        <v>0.81717754889420158</v>
      </c>
      <c r="AM17" s="18">
        <v>0.19355057969017841</v>
      </c>
      <c r="AN17" s="18">
        <v>0.3358202331555426</v>
      </c>
      <c r="AO17" s="18">
        <v>6.7767848978510209E-2</v>
      </c>
      <c r="AP17" s="19">
        <v>1.9851907767742816E-4</v>
      </c>
      <c r="AQ17" s="19">
        <v>1.1384241191227937E-3</v>
      </c>
      <c r="AR17" s="19">
        <v>1.8229719266351643E-3</v>
      </c>
      <c r="AS17" s="20">
        <v>2.4621480244513272E-5</v>
      </c>
      <c r="AT17" s="20">
        <v>2.9761641700671859E-3</v>
      </c>
      <c r="AU17" s="20">
        <v>2.4135353671137505E-3</v>
      </c>
      <c r="AZ17" s="1">
        <v>9</v>
      </c>
      <c r="BA17" s="15">
        <v>5.8273546086617285E-2</v>
      </c>
      <c r="BB17" s="15">
        <v>0.75466034913679159</v>
      </c>
      <c r="BC17" s="15">
        <v>1.1100893876164615</v>
      </c>
      <c r="BD17" s="16">
        <v>1.1711454172933005</v>
      </c>
      <c r="BE17" s="16">
        <v>1.6725112120117043</v>
      </c>
      <c r="BF17" s="16">
        <v>0.3831484020818598</v>
      </c>
      <c r="BG17" s="17">
        <v>0.38414464890535682</v>
      </c>
      <c r="BH17" s="17">
        <v>4.1637393038111437E-4</v>
      </c>
      <c r="BI17" s="17">
        <v>1.2676513700113954</v>
      </c>
      <c r="BJ17" s="18">
        <v>0.61993134134673022</v>
      </c>
      <c r="BK17" s="18">
        <v>1.4888399381183093</v>
      </c>
      <c r="BL17" s="18">
        <v>1.1882482669105476</v>
      </c>
      <c r="BM17" s="19">
        <v>5.2765084668526807E-4</v>
      </c>
      <c r="BN17" s="19">
        <v>6.8058129907055953E-4</v>
      </c>
      <c r="BO17" s="19">
        <v>2.2079307770425105E-3</v>
      </c>
      <c r="BP17" s="20">
        <v>2.7521952246905013E-3</v>
      </c>
      <c r="BQ17" s="20">
        <v>2.9725471430952495E-3</v>
      </c>
      <c r="BR17" s="20">
        <v>2.7847320780501894E-3</v>
      </c>
      <c r="BV17" s="1">
        <v>9</v>
      </c>
      <c r="BW17" s="15">
        <v>2.0258064266616832E-2</v>
      </c>
      <c r="BX17" s="15">
        <v>0.42254711149241664</v>
      </c>
      <c r="BY17" s="15">
        <v>0.73336163425357737</v>
      </c>
      <c r="BZ17" s="16">
        <v>0.51595843651674134</v>
      </c>
      <c r="CA17" s="16">
        <v>1.2315192705164937</v>
      </c>
      <c r="CB17" s="16">
        <v>0.97992241040523709</v>
      </c>
      <c r="CC17" s="17">
        <v>0.88860345144450936</v>
      </c>
      <c r="CD17" s="17">
        <v>0.86941181231689568</v>
      </c>
      <c r="CE17" s="17">
        <v>0.21576308134910269</v>
      </c>
      <c r="CF17" s="18">
        <v>0.25009955884712154</v>
      </c>
      <c r="CG17" s="18">
        <v>0.42915739520313173</v>
      </c>
      <c r="CH17" s="18">
        <v>0.26249376451712325</v>
      </c>
      <c r="CI17" s="19">
        <v>1.8613390348443115E-4</v>
      </c>
      <c r="CJ17" s="19">
        <v>5.5762003907666724E-6</v>
      </c>
      <c r="CK17" s="19">
        <v>9.7311619765805268E-4</v>
      </c>
      <c r="CL17" s="20">
        <v>1.44008170126253E-3</v>
      </c>
      <c r="CM17" s="20">
        <v>5.3203768636627125E-3</v>
      </c>
      <c r="CN17" s="20">
        <v>9.4468461800634174E-4</v>
      </c>
      <c r="CS17" s="1">
        <v>9</v>
      </c>
      <c r="CT17" s="15">
        <v>3.7903073242205307E-2</v>
      </c>
      <c r="CU17" s="15">
        <v>0.61776834721984497</v>
      </c>
      <c r="CV17" s="15">
        <v>1.0477679952590575</v>
      </c>
      <c r="CW17" s="16">
        <v>0.70597846424023214</v>
      </c>
      <c r="CX17" s="16">
        <v>1.1193878263430574</v>
      </c>
      <c r="CY17" s="16">
        <v>0.11857503446445114</v>
      </c>
      <c r="CZ17" s="17">
        <v>0.87279948224821202</v>
      </c>
      <c r="DA17" s="17">
        <v>9.1420988069272346E-2</v>
      </c>
      <c r="DB17" s="17">
        <v>1.3073388172168192</v>
      </c>
      <c r="DC17" s="18">
        <v>0.4859368364385474</v>
      </c>
      <c r="DD17" s="18">
        <v>0.91432153092654977</v>
      </c>
      <c r="DE17" s="18">
        <v>0.54255445153126358</v>
      </c>
      <c r="DF17" s="19">
        <v>3.493339269989848E-4</v>
      </c>
      <c r="DG17" s="19">
        <v>2.2379743751088643E-4</v>
      </c>
      <c r="DH17" s="19">
        <v>1.2375145655834086E-3</v>
      </c>
      <c r="DI17" s="20">
        <v>1.6521253323346086E-3</v>
      </c>
      <c r="DJ17" s="20">
        <v>1.5423829334613171E-3</v>
      </c>
      <c r="DK17" s="20">
        <v>3.4565976815645882E-3</v>
      </c>
    </row>
    <row r="18" spans="6:115" ht="15.75" x14ac:dyDescent="0.25">
      <c r="F18" s="1">
        <v>10</v>
      </c>
      <c r="G18" s="15">
        <v>5.5780933379968096E-2</v>
      </c>
      <c r="H18" s="15">
        <v>0.10303520302323643</v>
      </c>
      <c r="I18" s="15">
        <v>4.8156971359850101E-2</v>
      </c>
      <c r="J18" s="16">
        <v>0.11664813656558144</v>
      </c>
      <c r="K18" s="16">
        <v>0.10359505867247377</v>
      </c>
      <c r="L18" s="16">
        <v>0.66143257608486161</v>
      </c>
      <c r="M18" s="17">
        <v>0.92354817889448559</v>
      </c>
      <c r="N18" s="17">
        <v>0.58093380185351784</v>
      </c>
      <c r="O18" s="17">
        <v>0.78693654256269341</v>
      </c>
      <c r="P18" s="18">
        <v>0.46484111149978979</v>
      </c>
      <c r="Q18" s="18">
        <v>0.85862669186032159</v>
      </c>
      <c r="R18" s="18">
        <v>0.37043824122964147</v>
      </c>
      <c r="S18" s="19">
        <v>4.9059855329147695E-4</v>
      </c>
      <c r="T18" s="19">
        <v>9.0764498045270425E-4</v>
      </c>
      <c r="U18" s="19">
        <v>4.1876398677753723E-4</v>
      </c>
      <c r="V18" s="20">
        <v>1.7519553989142622E-4</v>
      </c>
      <c r="W18" s="20">
        <v>7.0500758438130084E-4</v>
      </c>
      <c r="X18" s="20">
        <v>2.7324064928756497E-3</v>
      </c>
      <c r="AC18" s="1">
        <v>10</v>
      </c>
      <c r="AD18" s="15">
        <v>1.8852275399004611E-3</v>
      </c>
      <c r="AE18" s="15">
        <v>0.63641147584277591</v>
      </c>
      <c r="AF18" s="15">
        <v>1.3438584289120059</v>
      </c>
      <c r="AG18" s="16">
        <v>3.1823913894430747E-2</v>
      </c>
      <c r="AH18" s="16">
        <v>0.34488868677911</v>
      </c>
      <c r="AI18" s="16">
        <v>0.61761804661746522</v>
      </c>
      <c r="AJ18" s="17">
        <v>1.2467035284406978</v>
      </c>
      <c r="AK18" s="17">
        <v>0.63932211310858145</v>
      </c>
      <c r="AL18" s="17">
        <v>0.84303121740494114</v>
      </c>
      <c r="AM18" s="18">
        <v>1.6251961550627806E-2</v>
      </c>
      <c r="AN18" s="18">
        <v>0.36077063553815042</v>
      </c>
      <c r="AO18" s="18">
        <v>0.14604101896384453</v>
      </c>
      <c r="AP18" s="19">
        <v>1.6665097277490659E-5</v>
      </c>
      <c r="AQ18" s="19">
        <v>1.1641399695631047E-3</v>
      </c>
      <c r="AR18" s="19">
        <v>1.5783737414972743E-3</v>
      </c>
      <c r="AS18" s="20">
        <v>8.7038763769808902E-5</v>
      </c>
      <c r="AT18" s="20">
        <v>3.0923122268552423E-3</v>
      </c>
      <c r="AU18" s="20">
        <v>2.7558044841134999E-3</v>
      </c>
      <c r="AZ18" s="1">
        <v>10</v>
      </c>
      <c r="BA18" s="15">
        <v>4.4906029285576521E-2</v>
      </c>
      <c r="BB18" s="15">
        <v>0.76705948048699235</v>
      </c>
      <c r="BC18" s="15">
        <v>1.1207556165272599</v>
      </c>
      <c r="BD18" s="16">
        <v>1.2712444677214778</v>
      </c>
      <c r="BE18" s="16">
        <v>1.5990944583160966</v>
      </c>
      <c r="BF18" s="16">
        <v>0.44497788561453316</v>
      </c>
      <c r="BG18" s="17">
        <v>0.3699129852329629</v>
      </c>
      <c r="BH18" s="17">
        <v>3.2042749442244119E-2</v>
      </c>
      <c r="BI18" s="17">
        <v>1.1727909606383657</v>
      </c>
      <c r="BJ18" s="18">
        <v>0.47772371580397688</v>
      </c>
      <c r="BK18" s="18">
        <v>1.623613104968058</v>
      </c>
      <c r="BL18" s="18">
        <v>1.0759721731127712</v>
      </c>
      <c r="BM18" s="19">
        <v>4.0666600777061745E-4</v>
      </c>
      <c r="BN18" s="19">
        <v>7.9412071273621265E-4</v>
      </c>
      <c r="BO18" s="19">
        <v>2.1105454569055881E-3</v>
      </c>
      <c r="BP18" s="20">
        <v>3.033392790808831E-3</v>
      </c>
      <c r="BQ18" s="20">
        <v>2.6946581614919474E-3</v>
      </c>
      <c r="BR18" s="20">
        <v>2.589560231364918E-3</v>
      </c>
      <c r="BV18" s="1">
        <v>10</v>
      </c>
      <c r="BW18" s="15">
        <v>2.5721202095255916E-2</v>
      </c>
      <c r="BX18" s="15">
        <v>0.42299346751912859</v>
      </c>
      <c r="BY18" s="15">
        <v>0.73824213241114844</v>
      </c>
      <c r="BZ18" s="16">
        <v>0.52602316067113619</v>
      </c>
      <c r="CA18" s="16">
        <v>1.2397858223091989</v>
      </c>
      <c r="CB18" s="16">
        <v>0.91541686570065661</v>
      </c>
      <c r="CC18" s="17">
        <v>0.87035532784134373</v>
      </c>
      <c r="CD18" s="17">
        <v>0.85194982109567241</v>
      </c>
      <c r="CE18" s="17">
        <v>0.17539742601240274</v>
      </c>
      <c r="CF18" s="18">
        <v>0.31754570487970285</v>
      </c>
      <c r="CG18" s="18">
        <v>0.434471157425937</v>
      </c>
      <c r="CH18" s="18">
        <v>0.21217935052169978</v>
      </c>
      <c r="CI18" s="19">
        <v>2.3631706366589178E-4</v>
      </c>
      <c r="CJ18" s="19">
        <v>9.6822146572472789E-6</v>
      </c>
      <c r="CK18" s="19">
        <v>9.2876537575992124E-4</v>
      </c>
      <c r="CL18" s="20">
        <v>1.481700402646946E-3</v>
      </c>
      <c r="CM18" s="20">
        <v>5.34836070637279E-3</v>
      </c>
      <c r="CN18" s="20">
        <v>6.7867722292325183E-4</v>
      </c>
      <c r="CS18" s="1">
        <v>10</v>
      </c>
      <c r="CT18" s="15">
        <v>4.1911880182812E-2</v>
      </c>
      <c r="CU18" s="15">
        <v>0.61704454216588134</v>
      </c>
      <c r="CV18" s="15">
        <v>1.054336359349938</v>
      </c>
      <c r="CW18" s="16">
        <v>0.71461127634076949</v>
      </c>
      <c r="CX18" s="16">
        <v>1.1173993977214891</v>
      </c>
      <c r="CY18" s="16">
        <v>9.2200641964709076E-2</v>
      </c>
      <c r="CZ18" s="17">
        <v>0.92534714922926464</v>
      </c>
      <c r="DA18" s="17">
        <v>7.7806107619725368E-2</v>
      </c>
      <c r="DB18" s="17">
        <v>1.3378577813347698</v>
      </c>
      <c r="DC18" s="18">
        <v>0.5373317972155025</v>
      </c>
      <c r="DD18" s="18">
        <v>0.90467079687386387</v>
      </c>
      <c r="DE18" s="18">
        <v>0.4572510217795146</v>
      </c>
      <c r="DF18" s="19">
        <v>3.8626564409161013E-4</v>
      </c>
      <c r="DG18" s="19">
        <v>2.1705904200286508E-4</v>
      </c>
      <c r="DH18" s="19">
        <v>1.1763247025122769E-3</v>
      </c>
      <c r="DI18" s="20">
        <v>1.6634978955860635E-3</v>
      </c>
      <c r="DJ18" s="20">
        <v>1.5384815810141061E-3</v>
      </c>
      <c r="DK18" s="20">
        <v>3.5789896466483784E-3</v>
      </c>
    </row>
    <row r="19" spans="6:115" ht="15.75" x14ac:dyDescent="0.25">
      <c r="F19" s="1">
        <v>11</v>
      </c>
      <c r="G19" s="15">
        <v>4.188201284585133E-2</v>
      </c>
      <c r="H19" s="15">
        <v>0.10138963753191475</v>
      </c>
      <c r="I19" s="15">
        <v>6.8718589458807391E-2</v>
      </c>
      <c r="J19" s="16">
        <v>0.14742564804140101</v>
      </c>
      <c r="K19" s="16">
        <v>6.6106172712473807E-2</v>
      </c>
      <c r="L19" s="16">
        <v>0.74173831625129416</v>
      </c>
      <c r="M19" s="17">
        <v>0.85895475111584452</v>
      </c>
      <c r="N19" s="17">
        <v>0.63079186964466716</v>
      </c>
      <c r="O19" s="17">
        <v>0.79440545391972739</v>
      </c>
      <c r="P19" s="18">
        <v>0.34901677371542777</v>
      </c>
      <c r="Q19" s="18">
        <v>0.84491364609936337</v>
      </c>
      <c r="R19" s="18">
        <v>0.52860453429851839</v>
      </c>
      <c r="S19" s="19">
        <v>3.6840741660193466E-4</v>
      </c>
      <c r="T19" s="19">
        <v>8.9313435596694024E-4</v>
      </c>
      <c r="U19" s="19">
        <v>5.9744117514326511E-4</v>
      </c>
      <c r="V19" s="20">
        <v>3.0382552081087422E-4</v>
      </c>
      <c r="W19" s="20">
        <v>5.7151931023013958E-4</v>
      </c>
      <c r="X19" s="20">
        <v>3.121616663739446E-3</v>
      </c>
      <c r="AC19" s="1">
        <v>11</v>
      </c>
      <c r="AD19" s="15">
        <v>2.714858495310209E-2</v>
      </c>
      <c r="AE19" s="15">
        <v>0.64091059232950032</v>
      </c>
      <c r="AF19" s="15">
        <v>1.3046474997385831</v>
      </c>
      <c r="AG19" s="16">
        <v>2.1512140336817531E-2</v>
      </c>
      <c r="AH19" s="16">
        <v>0.29451446541028115</v>
      </c>
      <c r="AI19" s="16">
        <v>0.76523383826162772</v>
      </c>
      <c r="AJ19" s="17">
        <v>1.024944285237767</v>
      </c>
      <c r="AK19" s="17">
        <v>0.71969777218673781</v>
      </c>
      <c r="AL19" s="17">
        <v>0.73939890936599062</v>
      </c>
      <c r="AM19" s="18">
        <v>0.23403952545801507</v>
      </c>
      <c r="AN19" s="18">
        <v>0.32198514858361571</v>
      </c>
      <c r="AO19" s="18">
        <v>0.15558151313935206</v>
      </c>
      <c r="AP19" s="19">
        <v>2.4005866351584082E-4</v>
      </c>
      <c r="AQ19" s="19">
        <v>1.1241639452596044E-3</v>
      </c>
      <c r="AR19" s="19">
        <v>1.9233911918357107E-3</v>
      </c>
      <c r="AS19" s="20">
        <v>1.2568447308070052E-4</v>
      </c>
      <c r="AT19" s="20">
        <v>2.9480379573861848E-3</v>
      </c>
      <c r="AU19" s="20">
        <v>2.0474814185876817E-3</v>
      </c>
      <c r="AZ19" s="1">
        <v>11</v>
      </c>
      <c r="BA19" s="15">
        <v>8.9434929504950134E-2</v>
      </c>
      <c r="BB19" s="15">
        <v>0.75656891112571978</v>
      </c>
      <c r="BC19" s="15">
        <v>1.1590602518829896</v>
      </c>
      <c r="BD19" s="16">
        <v>0.85520092347374943</v>
      </c>
      <c r="BE19" s="16">
        <v>1.5182182176771342</v>
      </c>
      <c r="BF19" s="16">
        <v>0.12234745607108309</v>
      </c>
      <c r="BG19" s="17">
        <v>0.70226378148771273</v>
      </c>
      <c r="BH19" s="17">
        <v>0.17298703621391995</v>
      </c>
      <c r="BI19" s="17">
        <v>1.3604874832668348</v>
      </c>
      <c r="BJ19" s="18">
        <v>0.95143542026542816</v>
      </c>
      <c r="BK19" s="18">
        <v>1.5095851771282178</v>
      </c>
      <c r="BL19" s="18">
        <v>0.67276548515762058</v>
      </c>
      <c r="BM19" s="19">
        <v>8.0955643508762165E-4</v>
      </c>
      <c r="BN19" s="19">
        <v>6.98056241225542E-4</v>
      </c>
      <c r="BO19" s="19">
        <v>1.760641344187297E-3</v>
      </c>
      <c r="BP19" s="20">
        <v>1.8928370937753012E-3</v>
      </c>
      <c r="BQ19" s="20">
        <v>2.4662154681133197E-3</v>
      </c>
      <c r="BR19" s="20">
        <v>4.9000051802136069E-3</v>
      </c>
      <c r="BV19" s="1">
        <v>11</v>
      </c>
      <c r="BW19" s="15">
        <v>1.3599335184204127E-2</v>
      </c>
      <c r="BX19" s="15">
        <v>0.42395517323765747</v>
      </c>
      <c r="BY19" s="15">
        <v>0.72648591867148471</v>
      </c>
      <c r="BZ19" s="16">
        <v>0.48158503843562961</v>
      </c>
      <c r="CA19" s="16">
        <v>1.1904240531254979</v>
      </c>
      <c r="CB19" s="16">
        <v>1.0679562412975474</v>
      </c>
      <c r="CC19" s="17">
        <v>0.81737224785530249</v>
      </c>
      <c r="CD19" s="17">
        <v>0.91730273047094313</v>
      </c>
      <c r="CE19" s="17">
        <v>0.21972268395120445</v>
      </c>
      <c r="CF19" s="18">
        <v>0.16789302696555192</v>
      </c>
      <c r="CG19" s="18">
        <v>0.44592003502740535</v>
      </c>
      <c r="CH19" s="18">
        <v>0.33337743031200517</v>
      </c>
      <c r="CI19" s="19">
        <v>1.2496089649172148E-4</v>
      </c>
      <c r="CJ19" s="19">
        <v>1.8529038721681879E-5</v>
      </c>
      <c r="CK19" s="19">
        <v>1.0355908703622019E-3</v>
      </c>
      <c r="CL19" s="20">
        <v>1.3299788819495229E-3</v>
      </c>
      <c r="CM19" s="20">
        <v>5.1930842518830289E-3</v>
      </c>
      <c r="CN19" s="20">
        <v>1.3087404635957478E-3</v>
      </c>
      <c r="CS19" s="1">
        <v>11</v>
      </c>
      <c r="CT19" s="15">
        <v>3.7403719617918489E-2</v>
      </c>
      <c r="CU19" s="15">
        <v>0.61830509310860404</v>
      </c>
      <c r="CV19" s="15">
        <v>1.0508840444546004</v>
      </c>
      <c r="CW19" s="16">
        <v>0.70403029751352186</v>
      </c>
      <c r="CX19" s="16">
        <v>1.134425863966936</v>
      </c>
      <c r="CY19" s="16">
        <v>0.11914160889407352</v>
      </c>
      <c r="CZ19" s="17">
        <v>0.91660776263666333</v>
      </c>
      <c r="DA19" s="17">
        <v>8.87393763618885E-2</v>
      </c>
      <c r="DB19" s="17">
        <v>1.3487065437438222</v>
      </c>
      <c r="DC19" s="18">
        <v>0.47953486689646257</v>
      </c>
      <c r="DD19" s="18">
        <v>0.9214781427766956</v>
      </c>
      <c r="DE19" s="18">
        <v>0.50208628016061163</v>
      </c>
      <c r="DF19" s="19">
        <v>3.4473335178097919E-4</v>
      </c>
      <c r="DG19" s="19">
        <v>2.2879443489476348E-4</v>
      </c>
      <c r="DH19" s="19">
        <v>1.2084869464532577E-3</v>
      </c>
      <c r="DI19" s="20">
        <v>1.6485493815026064E-3</v>
      </c>
      <c r="DJ19" s="20">
        <v>1.5869999203669272E-3</v>
      </c>
      <c r="DK19" s="20">
        <v>3.466161170852966E-3</v>
      </c>
    </row>
    <row r="20" spans="6:115" ht="15.75" x14ac:dyDescent="0.25">
      <c r="F20" s="1">
        <v>12</v>
      </c>
      <c r="G20" s="15">
        <v>5.3638860463162324E-2</v>
      </c>
      <c r="H20" s="15">
        <v>0.10417406006592177</v>
      </c>
      <c r="I20" s="15">
        <v>4.8348366070806607E-2</v>
      </c>
      <c r="J20" s="16">
        <v>0.12085078221661877</v>
      </c>
      <c r="K20" s="16">
        <v>0.10081215461711796</v>
      </c>
      <c r="L20" s="16">
        <v>0.66248384974014152</v>
      </c>
      <c r="M20" s="17">
        <v>0.89368277629042026</v>
      </c>
      <c r="N20" s="17">
        <v>0.58969972874114851</v>
      </c>
      <c r="O20" s="17">
        <v>0.76862650114706543</v>
      </c>
      <c r="P20" s="18">
        <v>0.44699050385965833</v>
      </c>
      <c r="Q20" s="18">
        <v>0.86811716721605126</v>
      </c>
      <c r="R20" s="18">
        <v>0.37191050823701188</v>
      </c>
      <c r="S20" s="19">
        <v>4.7176892060274422E-4</v>
      </c>
      <c r="T20" s="19">
        <v>9.1768772113787211E-4</v>
      </c>
      <c r="U20" s="19">
        <v>4.2042751498205799E-4</v>
      </c>
      <c r="V20" s="20">
        <v>1.9346134402664639E-4</v>
      </c>
      <c r="W20" s="20">
        <v>6.9940850229466278E-4</v>
      </c>
      <c r="X20" s="20">
        <v>2.7372019831698458E-3</v>
      </c>
      <c r="AC20" s="1">
        <v>12</v>
      </c>
      <c r="AD20" s="15">
        <v>2.388026547118698E-2</v>
      </c>
      <c r="AE20" s="15">
        <v>0.64109523924935108</v>
      </c>
      <c r="AF20" s="15">
        <v>1.316192502267602</v>
      </c>
      <c r="AG20" s="16">
        <v>2.9476414914669118E-2</v>
      </c>
      <c r="AH20" s="16">
        <v>0.30166970167968876</v>
      </c>
      <c r="AI20" s="16">
        <v>0.6935568988959997</v>
      </c>
      <c r="AJ20" s="17">
        <v>1.0833863273956881</v>
      </c>
      <c r="AK20" s="17">
        <v>0.71715883203006758</v>
      </c>
      <c r="AL20" s="17">
        <v>0.80018126565030379</v>
      </c>
      <c r="AM20" s="18">
        <v>0.20586435751044929</v>
      </c>
      <c r="AN20" s="18">
        <v>0.32039336479189934</v>
      </c>
      <c r="AO20" s="18">
        <v>6.6773801377591174E-2</v>
      </c>
      <c r="AP20" s="19">
        <v>2.1115197041665645E-4</v>
      </c>
      <c r="AQ20" s="19">
        <v>1.1225232236340421E-3</v>
      </c>
      <c r="AR20" s="19">
        <v>1.8218350510847967E-3</v>
      </c>
      <c r="AS20" s="20">
        <v>1.445340989025823E-5</v>
      </c>
      <c r="AT20" s="20">
        <v>2.9711503576248521E-3</v>
      </c>
      <c r="AU20" s="20">
        <v>2.3629151113617737E-3</v>
      </c>
      <c r="AZ20" s="1">
        <v>12</v>
      </c>
      <c r="BA20" s="15">
        <v>3.7132910681491632E-2</v>
      </c>
      <c r="BB20" s="15">
        <v>0.76489944000967092</v>
      </c>
      <c r="BC20" s="15">
        <v>1.1003257229928163</v>
      </c>
      <c r="BD20" s="16">
        <v>0.99374626814564204</v>
      </c>
      <c r="BE20" s="16">
        <v>1.6723112826425464</v>
      </c>
      <c r="BF20" s="16">
        <v>0.32805947566417293</v>
      </c>
      <c r="BG20" s="17">
        <v>0.27849938295892451</v>
      </c>
      <c r="BH20" s="17">
        <v>3.5454471358036484E-2</v>
      </c>
      <c r="BI20" s="17">
        <v>1.2400301526267592</v>
      </c>
      <c r="BJ20" s="18">
        <v>0.39503096469657395</v>
      </c>
      <c r="BK20" s="18">
        <v>1.6001344041278076</v>
      </c>
      <c r="BL20" s="18">
        <v>1.2910236840015366</v>
      </c>
      <c r="BM20" s="19">
        <v>3.3629929305800665E-4</v>
      </c>
      <c r="BN20" s="19">
        <v>7.7433908229274095E-4</v>
      </c>
      <c r="BO20" s="19">
        <v>2.2970570461957602E-3</v>
      </c>
      <c r="BP20" s="20">
        <v>2.3660606563510322E-3</v>
      </c>
      <c r="BQ20" s="20">
        <v>2.9390027934387279E-3</v>
      </c>
      <c r="BR20" s="20">
        <v>2.957520747661424E-3</v>
      </c>
      <c r="BV20" s="1">
        <v>12</v>
      </c>
      <c r="BW20" s="15">
        <v>2.1501684026749221E-2</v>
      </c>
      <c r="BX20" s="15">
        <v>0.42333062197948734</v>
      </c>
      <c r="BY20" s="15">
        <v>0.73306106935057702</v>
      </c>
      <c r="BZ20" s="16">
        <v>0.52265944394425523</v>
      </c>
      <c r="CA20" s="16">
        <v>1.2288030199515083</v>
      </c>
      <c r="CB20" s="16">
        <v>0.93812003433625013</v>
      </c>
      <c r="CC20" s="17">
        <v>0.85405809574719294</v>
      </c>
      <c r="CD20" s="17">
        <v>0.86933039634360754</v>
      </c>
      <c r="CE20" s="17">
        <v>0.18935354095421525</v>
      </c>
      <c r="CF20" s="18">
        <v>0.26545288921909194</v>
      </c>
      <c r="CG20" s="18">
        <v>0.43848490100157039</v>
      </c>
      <c r="CH20" s="18">
        <v>0.26559237176471873</v>
      </c>
      <c r="CI20" s="19">
        <v>1.975579979093256E-4</v>
      </c>
      <c r="CJ20" s="19">
        <v>1.2783711745067983E-5</v>
      </c>
      <c r="CK20" s="19">
        <v>9.7584739523248754E-4</v>
      </c>
      <c r="CL20" s="20">
        <v>1.461398619766352E-3</v>
      </c>
      <c r="CM20" s="20">
        <v>5.3142162775751123E-3</v>
      </c>
      <c r="CN20" s="20">
        <v>7.8553744459908259E-4</v>
      </c>
      <c r="CS20" s="1">
        <v>12</v>
      </c>
      <c r="CT20" s="15">
        <v>3.8229540424841613E-2</v>
      </c>
      <c r="CU20" s="15">
        <v>0.6184552312964402</v>
      </c>
      <c r="CV20" s="15">
        <v>1.0512244068070904</v>
      </c>
      <c r="CW20" s="16">
        <v>0.72582406958511347</v>
      </c>
      <c r="CX20" s="16">
        <v>1.1091060458350137</v>
      </c>
      <c r="CY20" s="16">
        <v>0.10524339206702406</v>
      </c>
      <c r="CZ20" s="17">
        <v>0.90061255219694281</v>
      </c>
      <c r="DA20" s="17">
        <v>8.3487767322002276E-2</v>
      </c>
      <c r="DB20" s="17">
        <v>1.3218766696396449</v>
      </c>
      <c r="DC20" s="18">
        <v>0.49012231313906673</v>
      </c>
      <c r="DD20" s="18">
        <v>0.9234799852812654</v>
      </c>
      <c r="DE20" s="18">
        <v>0.49766598986846244</v>
      </c>
      <c r="DF20" s="19">
        <v>3.5234166411812762E-4</v>
      </c>
      <c r="DG20" s="19">
        <v>2.3019220119890882E-4</v>
      </c>
      <c r="DH20" s="19">
        <v>1.2053161833386339E-3</v>
      </c>
      <c r="DI20" s="20">
        <v>1.7004082383257346E-3</v>
      </c>
      <c r="DJ20" s="20">
        <v>1.5086526362836361E-3</v>
      </c>
      <c r="DK20" s="20">
        <v>3.5189754160360742E-3</v>
      </c>
    </row>
    <row r="21" spans="6:115" ht="15.75" x14ac:dyDescent="0.25">
      <c r="F21" s="1">
        <v>13</v>
      </c>
      <c r="G21" s="15">
        <v>4.7260800812822711E-2</v>
      </c>
      <c r="H21" s="15">
        <v>0.10356598026141646</v>
      </c>
      <c r="I21" s="15">
        <v>5.2519043845377832E-2</v>
      </c>
      <c r="J21" s="16">
        <v>0.13702661385711046</v>
      </c>
      <c r="K21" s="16">
        <v>8.4894546709127952E-2</v>
      </c>
      <c r="L21" s="16">
        <v>0.69741965484712154</v>
      </c>
      <c r="M21" s="17">
        <v>0.95106871763240408</v>
      </c>
      <c r="N21" s="17">
        <v>0.59429939935184906</v>
      </c>
      <c r="O21" s="17">
        <v>0.82877803037524156</v>
      </c>
      <c r="P21" s="18">
        <v>0.39384000677353659</v>
      </c>
      <c r="Q21" s="18">
        <v>0.86304983551172931</v>
      </c>
      <c r="R21" s="18">
        <v>0.40399264496440679</v>
      </c>
      <c r="S21" s="19">
        <v>4.1569858467271903E-4</v>
      </c>
      <c r="T21" s="19">
        <v>9.123254851322038E-4</v>
      </c>
      <c r="U21" s="19">
        <v>4.5667583967035069E-4</v>
      </c>
      <c r="V21" s="20">
        <v>2.5839409920325185E-4</v>
      </c>
      <c r="W21" s="20">
        <v>6.4304072048171346E-4</v>
      </c>
      <c r="X21" s="20">
        <v>2.8881870877347504E-3</v>
      </c>
      <c r="AC21" s="1">
        <v>13</v>
      </c>
      <c r="AD21" s="15">
        <v>1.2767374740110063E-2</v>
      </c>
      <c r="AE21" s="15">
        <v>0.63669080027815284</v>
      </c>
      <c r="AF21" s="15">
        <v>1.3156213073609064</v>
      </c>
      <c r="AG21" s="16">
        <v>4.6260730419978087E-2</v>
      </c>
      <c r="AH21" s="16">
        <v>0.32173834017731351</v>
      </c>
      <c r="AI21" s="16">
        <v>0.65001533369735787</v>
      </c>
      <c r="AJ21" s="17">
        <v>1.0938341564298475</v>
      </c>
      <c r="AK21" s="17">
        <v>0.68243221383588104</v>
      </c>
      <c r="AL21" s="17">
        <v>0.75919603496834953</v>
      </c>
      <c r="AM21" s="18">
        <v>0.11006357534594977</v>
      </c>
      <c r="AN21" s="18">
        <v>0.35836266626773161</v>
      </c>
      <c r="AO21" s="18">
        <v>7.1167608352153758E-2</v>
      </c>
      <c r="AP21" s="19">
        <v>1.1287800426063033E-4</v>
      </c>
      <c r="AQ21" s="19">
        <v>1.1616581920326219E-3</v>
      </c>
      <c r="AR21" s="19">
        <v>1.8268601518403038E-3</v>
      </c>
      <c r="AS21" s="20">
        <v>8.6494273213943984E-5</v>
      </c>
      <c r="AT21" s="20">
        <v>3.0203282710447032E-3</v>
      </c>
      <c r="AU21" s="20">
        <v>2.5255697675284905E-3</v>
      </c>
      <c r="AZ21" s="1">
        <v>13</v>
      </c>
      <c r="BA21" s="15">
        <v>6.1347784431185291E-2</v>
      </c>
      <c r="BB21" s="15">
        <v>0.76123461818955118</v>
      </c>
      <c r="BC21" s="15">
        <v>1.1290141398192606</v>
      </c>
      <c r="BD21" s="16">
        <v>1.0186276562256518</v>
      </c>
      <c r="BE21" s="16">
        <v>1.6030728516053188</v>
      </c>
      <c r="BF21" s="16">
        <v>0.14609933695383853</v>
      </c>
      <c r="BG21" s="17">
        <v>0.34429584194718016</v>
      </c>
      <c r="BH21" s="17">
        <v>4.3249169891166825E-2</v>
      </c>
      <c r="BI21" s="17">
        <v>1.3535106076502108</v>
      </c>
      <c r="BJ21" s="18">
        <v>0.65263600458701998</v>
      </c>
      <c r="BK21" s="18">
        <v>1.5602993843438369</v>
      </c>
      <c r="BL21" s="18">
        <v>0.98904034898631765</v>
      </c>
      <c r="BM21" s="19">
        <v>5.554701583110333E-4</v>
      </c>
      <c r="BN21" s="19">
        <v>7.4077864837751584E-4</v>
      </c>
      <c r="BO21" s="19">
        <v>2.0351286546397285E-3</v>
      </c>
      <c r="BP21" s="20">
        <v>2.3671367645681225E-3</v>
      </c>
      <c r="BQ21" s="20">
        <v>2.7262822110722951E-3</v>
      </c>
      <c r="BR21" s="20">
        <v>3.7620673841343155E-3</v>
      </c>
      <c r="BV21" s="1">
        <v>13</v>
      </c>
      <c r="BW21" s="15">
        <v>2.5969059899105622E-2</v>
      </c>
      <c r="BX21" s="15">
        <v>0.42267468554324955</v>
      </c>
      <c r="BY21" s="15">
        <v>0.73956601844759562</v>
      </c>
      <c r="BZ21" s="16">
        <v>0.55843268313062056</v>
      </c>
      <c r="CA21" s="16">
        <v>1.268414415016677</v>
      </c>
      <c r="CB21" s="16">
        <v>0.8662320539931706</v>
      </c>
      <c r="CC21" s="17">
        <v>0.87778879866513382</v>
      </c>
      <c r="CD21" s="17">
        <v>0.85365575951986283</v>
      </c>
      <c r="CE21" s="17">
        <v>0.19115922561433002</v>
      </c>
      <c r="CF21" s="18">
        <v>0.32060567776673626</v>
      </c>
      <c r="CG21" s="18">
        <v>0.43067613390369974</v>
      </c>
      <c r="CH21" s="18">
        <v>0.19853104086756238</v>
      </c>
      <c r="CI21" s="19">
        <v>2.3859369993195489E-4</v>
      </c>
      <c r="CJ21" s="19">
        <v>6.7497460907173235E-6</v>
      </c>
      <c r="CK21" s="19">
        <v>9.1673400068437161E-4</v>
      </c>
      <c r="CL21" s="20">
        <v>1.5693916595252988E-3</v>
      </c>
      <c r="CM21" s="20">
        <v>5.4391857409873401E-3</v>
      </c>
      <c r="CN21" s="20">
        <v>4.8510761214681786E-4</v>
      </c>
      <c r="CS21" s="1">
        <v>13</v>
      </c>
      <c r="CT21" s="15">
        <v>4.1980441906797859E-2</v>
      </c>
      <c r="CU21" s="15">
        <v>0.61737672903854368</v>
      </c>
      <c r="CV21" s="15">
        <v>1.0539100093266378</v>
      </c>
      <c r="CW21" s="16">
        <v>0.72133442121615809</v>
      </c>
      <c r="CX21" s="16">
        <v>1.1036618443100461</v>
      </c>
      <c r="CY21" s="16">
        <v>9.0254025864934653E-2</v>
      </c>
      <c r="CZ21" s="17">
        <v>0.92357826654315467</v>
      </c>
      <c r="DA21" s="17">
        <v>6.052504974877692E-2</v>
      </c>
      <c r="DB21" s="17">
        <v>1.3026362985458664</v>
      </c>
      <c r="DC21" s="18">
        <v>0.53821079367691349</v>
      </c>
      <c r="DD21" s="18">
        <v>0.90909995517600206</v>
      </c>
      <c r="DE21" s="18">
        <v>0.46278803506919974</v>
      </c>
      <c r="DF21" s="19">
        <v>3.8689725320406598E-4</v>
      </c>
      <c r="DG21" s="19">
        <v>2.2015158425281456E-4</v>
      </c>
      <c r="DH21" s="19">
        <v>1.1802967598768532E-3</v>
      </c>
      <c r="DI21" s="20">
        <v>1.6799588458435988E-3</v>
      </c>
      <c r="DJ21" s="20">
        <v>1.4952071497328356E-3</v>
      </c>
      <c r="DK21" s="20">
        <v>3.5846112771978911E-3</v>
      </c>
    </row>
    <row r="22" spans="6:115" ht="15.75" x14ac:dyDescent="0.25">
      <c r="F22" s="1">
        <v>14</v>
      </c>
      <c r="G22" s="15">
        <v>5.3918459088651921E-2</v>
      </c>
      <c r="H22" s="15">
        <v>0.10009088315337429</v>
      </c>
      <c r="I22" s="15">
        <v>4.97161724471398E-2</v>
      </c>
      <c r="J22" s="16">
        <v>0.13794679468248153</v>
      </c>
      <c r="K22" s="16">
        <v>7.9987184968492706E-2</v>
      </c>
      <c r="L22" s="16">
        <v>0.69397112890637347</v>
      </c>
      <c r="M22" s="17">
        <v>0.95148922955881843</v>
      </c>
      <c r="N22" s="17">
        <v>0.59628744092232988</v>
      </c>
      <c r="O22" s="17">
        <v>0.82979606909742609</v>
      </c>
      <c r="P22" s="18">
        <v>0.44932049240548838</v>
      </c>
      <c r="Q22" s="18">
        <v>0.83409069294471139</v>
      </c>
      <c r="R22" s="18">
        <v>0.38243209574729253</v>
      </c>
      <c r="S22" s="19">
        <v>4.7422674422703537E-4</v>
      </c>
      <c r="T22" s="19">
        <v>8.8168225530560473E-4</v>
      </c>
      <c r="U22" s="19">
        <v>4.3231576943669747E-4</v>
      </c>
      <c r="V22" s="20">
        <v>2.4186303122963881E-4</v>
      </c>
      <c r="W22" s="20">
        <v>6.1442818697532442E-4</v>
      </c>
      <c r="X22" s="20">
        <v>2.8641098211537042E-3</v>
      </c>
      <c r="AC22" s="1">
        <v>14</v>
      </c>
      <c r="AD22" s="15">
        <v>1.5411179020676537E-2</v>
      </c>
      <c r="AE22" s="15">
        <v>0.63699012278997635</v>
      </c>
      <c r="AF22" s="15">
        <v>1.3203485408540276</v>
      </c>
      <c r="AG22" s="16">
        <v>3.0573570054055945E-2</v>
      </c>
      <c r="AH22" s="16">
        <v>0.30632451693803331</v>
      </c>
      <c r="AI22" s="16">
        <v>0.68318951114285564</v>
      </c>
      <c r="AJ22" s="17">
        <v>1.1288746032242816</v>
      </c>
      <c r="AK22" s="17">
        <v>0.70758392634822265</v>
      </c>
      <c r="AL22" s="17">
        <v>0.83267755833238366</v>
      </c>
      <c r="AM22" s="18">
        <v>0.13285499155777306</v>
      </c>
      <c r="AN22" s="18">
        <v>0.35578229978646614</v>
      </c>
      <c r="AO22" s="18">
        <v>3.4804273789758498E-2</v>
      </c>
      <c r="AP22" s="19">
        <v>1.362558211716047E-4</v>
      </c>
      <c r="AQ22" s="19">
        <v>1.1589987175427696E-3</v>
      </c>
      <c r="AR22" s="19">
        <v>1.7852704513920958E-3</v>
      </c>
      <c r="AS22" s="20">
        <v>3.9157101122566651E-5</v>
      </c>
      <c r="AT22" s="20">
        <v>2.9727581773587586E-3</v>
      </c>
      <c r="AU22" s="20">
        <v>2.4180026320685943E-3</v>
      </c>
      <c r="AZ22" s="1">
        <v>14</v>
      </c>
      <c r="BA22" s="15">
        <v>4.4889330527533466E-2</v>
      </c>
      <c r="BB22" s="15">
        <v>0.77243196842150752</v>
      </c>
      <c r="BC22" s="15">
        <v>1.1328938897654752</v>
      </c>
      <c r="BD22" s="16">
        <v>1.047090700176849</v>
      </c>
      <c r="BE22" s="16">
        <v>1.6092367904612728</v>
      </c>
      <c r="BF22" s="16">
        <v>0.24099897094801864</v>
      </c>
      <c r="BG22" s="17">
        <v>0.30957289932642101</v>
      </c>
      <c r="BH22" s="17">
        <v>4.7680441307782699E-2</v>
      </c>
      <c r="BI22" s="17">
        <v>1.3085633298924233</v>
      </c>
      <c r="BJ22" s="18">
        <v>0.47754606944158301</v>
      </c>
      <c r="BK22" s="18">
        <v>1.6820097129520772</v>
      </c>
      <c r="BL22" s="18">
        <v>0.94820087586838342</v>
      </c>
      <c r="BM22" s="19">
        <v>4.065148527833129E-4</v>
      </c>
      <c r="BN22" s="19">
        <v>8.4332564182332248E-4</v>
      </c>
      <c r="BO22" s="19">
        <v>1.9996944435166641E-3</v>
      </c>
      <c r="BP22" s="20">
        <v>2.4786854734378809E-3</v>
      </c>
      <c r="BQ22" s="20">
        <v>2.7102698137511094E-3</v>
      </c>
      <c r="BR22" s="20">
        <v>3.415102278447768E-3</v>
      </c>
      <c r="BV22" s="1">
        <v>14</v>
      </c>
      <c r="BW22" s="15">
        <v>2.0837196630287897E-2</v>
      </c>
      <c r="BX22" s="15">
        <v>0.4219882643515076</v>
      </c>
      <c r="BY22" s="15">
        <v>0.73398633688296333</v>
      </c>
      <c r="BZ22" s="16">
        <v>0.51006967836774708</v>
      </c>
      <c r="CA22" s="16">
        <v>1.2372144239681206</v>
      </c>
      <c r="CB22" s="16">
        <v>0.98413106161203823</v>
      </c>
      <c r="CC22" s="17">
        <v>0.90087835393622018</v>
      </c>
      <c r="CD22" s="17">
        <v>0.87723665990962052</v>
      </c>
      <c r="CE22" s="17">
        <v>0.24369514021546712</v>
      </c>
      <c r="CF22" s="18">
        <v>0.25724934111456238</v>
      </c>
      <c r="CG22" s="18">
        <v>0.42250445304951856</v>
      </c>
      <c r="CH22" s="18">
        <v>0.25605353122456787</v>
      </c>
      <c r="CI22" s="19">
        <v>1.9145394339770139E-4</v>
      </c>
      <c r="CJ22" s="19">
        <v>4.3543599514972442E-7</v>
      </c>
      <c r="CK22" s="19">
        <v>9.674395461506391E-4</v>
      </c>
      <c r="CL22" s="20">
        <v>1.4258145621705021E-3</v>
      </c>
      <c r="CM22" s="20">
        <v>5.3368295940607879E-3</v>
      </c>
      <c r="CN22" s="20">
        <v>9.5843635453318754E-4</v>
      </c>
      <c r="CS22" s="1">
        <v>14</v>
      </c>
      <c r="CT22" s="15">
        <v>3.6918965302896831E-2</v>
      </c>
      <c r="CU22" s="15">
        <v>0.61889371560351725</v>
      </c>
      <c r="CV22" s="15">
        <v>1.0487804218078547</v>
      </c>
      <c r="CW22" s="16">
        <v>0.69897410134409621</v>
      </c>
      <c r="CX22" s="16">
        <v>1.1134173314735545</v>
      </c>
      <c r="CY22" s="16">
        <v>0.11658222612922597</v>
      </c>
      <c r="CZ22" s="17">
        <v>0.8914397660721336</v>
      </c>
      <c r="DA22" s="17">
        <v>8.3976736162918286E-2</v>
      </c>
      <c r="DB22" s="17">
        <v>1.3187994937438055</v>
      </c>
      <c r="DC22" s="18">
        <v>0.4733200679858926</v>
      </c>
      <c r="DD22" s="18">
        <v>0.92932644270889619</v>
      </c>
      <c r="DE22" s="18">
        <v>0.52940605479365654</v>
      </c>
      <c r="DF22" s="19">
        <v>3.4026723694957628E-4</v>
      </c>
      <c r="DG22" s="19">
        <v>2.3427445520962653E-4</v>
      </c>
      <c r="DH22" s="19">
        <v>1.2280834861493339E-3</v>
      </c>
      <c r="DI22" s="20">
        <v>1.6372481215128909E-3</v>
      </c>
      <c r="DJ22" s="20">
        <v>1.520572489918437E-3</v>
      </c>
      <c r="DK22" s="20">
        <v>3.4677778888115851E-3</v>
      </c>
    </row>
    <row r="23" spans="6:115" ht="15.75" x14ac:dyDescent="0.25">
      <c r="F23" s="1">
        <v>15</v>
      </c>
      <c r="G23" s="15">
        <v>5.7442810249534279E-2</v>
      </c>
      <c r="H23" s="15">
        <v>0.10105614523992698</v>
      </c>
      <c r="I23" s="15">
        <v>4.5500152349210107E-2</v>
      </c>
      <c r="J23" s="16">
        <v>0.13224862202702209</v>
      </c>
      <c r="K23" s="16">
        <v>0.1007785023204007</v>
      </c>
      <c r="L23" s="16">
        <v>0.67863964799252152</v>
      </c>
      <c r="M23" s="17">
        <v>0.98232155862274095</v>
      </c>
      <c r="N23" s="17">
        <v>0.58378992429003218</v>
      </c>
      <c r="O23" s="17">
        <v>0.84999472994680081</v>
      </c>
      <c r="P23" s="18">
        <v>0.47869008541275798</v>
      </c>
      <c r="Q23" s="18">
        <v>0.84213454366602081</v>
      </c>
      <c r="R23" s="18">
        <v>0.35000117191701346</v>
      </c>
      <c r="S23" s="19">
        <v>5.0520652537011657E-4</v>
      </c>
      <c r="T23" s="19">
        <v>8.9019367352294321E-4</v>
      </c>
      <c r="U23" s="19">
        <v>3.95671294396438E-4</v>
      </c>
      <c r="V23" s="20">
        <v>2.1531058868196062E-4</v>
      </c>
      <c r="W23" s="20">
        <v>6.8863831389198715E-4</v>
      </c>
      <c r="X23" s="20">
        <v>2.7886955457321339E-3</v>
      </c>
      <c r="AC23" s="1">
        <v>15</v>
      </c>
      <c r="AD23" s="15">
        <v>3.5811390589311397E-2</v>
      </c>
      <c r="AE23" s="15">
        <v>0.64012976487679185</v>
      </c>
      <c r="AF23" s="15">
        <v>1.2992767915871692</v>
      </c>
      <c r="AG23" s="16">
        <v>8.3709622418895346E-2</v>
      </c>
      <c r="AH23" s="16">
        <v>0.30905570846050684</v>
      </c>
      <c r="AI23" s="16">
        <v>0.78994332516829968</v>
      </c>
      <c r="AJ23" s="17">
        <v>1.0887287713218678</v>
      </c>
      <c r="AK23" s="17">
        <v>0.75407197131629566</v>
      </c>
      <c r="AL23" s="17">
        <v>0.86532386990672894</v>
      </c>
      <c r="AM23" s="18">
        <v>0.30871888439072398</v>
      </c>
      <c r="AN23" s="18">
        <v>0.32871641972773974</v>
      </c>
      <c r="AO23" s="18">
        <v>0.19689465276551821</v>
      </c>
      <c r="AP23" s="19">
        <v>3.1668610250690232E-4</v>
      </c>
      <c r="AQ23" s="19">
        <v>1.1311020953246318E-3</v>
      </c>
      <c r="AR23" s="19">
        <v>1.9706267739817429E-3</v>
      </c>
      <c r="AS23" s="20">
        <v>3.0874156492766142E-4</v>
      </c>
      <c r="AT23" s="20">
        <v>2.9913336858279349E-3</v>
      </c>
      <c r="AU23" s="20">
        <v>1.9334158270953863E-3</v>
      </c>
      <c r="AZ23" s="1">
        <v>15</v>
      </c>
      <c r="BA23" s="15">
        <v>7.0637892778471004E-2</v>
      </c>
      <c r="BB23" s="15">
        <v>0.75749685045823456</v>
      </c>
      <c r="BC23" s="15">
        <v>1.1337326444544948</v>
      </c>
      <c r="BD23" s="16">
        <v>0.93426702158435926</v>
      </c>
      <c r="BE23" s="16">
        <v>1.6334679365573102</v>
      </c>
      <c r="BF23" s="16">
        <v>0.22314910548641947</v>
      </c>
      <c r="BG23" s="17">
        <v>0.50459424407922493</v>
      </c>
      <c r="BH23" s="17">
        <v>6.952585944393519E-2</v>
      </c>
      <c r="BI23" s="17">
        <v>1.2957301144937028</v>
      </c>
      <c r="BJ23" s="18">
        <v>0.75146694445180551</v>
      </c>
      <c r="BK23" s="18">
        <v>1.5196714742207906</v>
      </c>
      <c r="BL23" s="18">
        <v>0.93937187914178932</v>
      </c>
      <c r="BM23" s="19">
        <v>6.3952755978080578E-4</v>
      </c>
      <c r="BN23" s="19">
        <v>7.0655276883224705E-4</v>
      </c>
      <c r="BO23" s="19">
        <v>1.9920336330023773E-3</v>
      </c>
      <c r="BP23" s="20">
        <v>2.1352527663843772E-3</v>
      </c>
      <c r="BQ23" s="20">
        <v>2.8368410475794192E-3</v>
      </c>
      <c r="BR23" s="20">
        <v>3.4864236530803843E-3</v>
      </c>
      <c r="BV23" s="1">
        <v>15</v>
      </c>
      <c r="BW23" s="15">
        <v>2.2969637152462322E-2</v>
      </c>
      <c r="BX23" s="15">
        <v>0.42229521352662752</v>
      </c>
      <c r="BY23" s="15">
        <v>0.73310437512157767</v>
      </c>
      <c r="BZ23" s="16">
        <v>0.54964288230228719</v>
      </c>
      <c r="CA23" s="16">
        <v>1.2399355786327317</v>
      </c>
      <c r="CB23" s="16">
        <v>0.91040825466766251</v>
      </c>
      <c r="CC23" s="17">
        <v>0.84956135374005282</v>
      </c>
      <c r="CD23" s="17">
        <v>0.86131867480505697</v>
      </c>
      <c r="CE23" s="17">
        <v>0.17025939597666082</v>
      </c>
      <c r="CF23" s="18">
        <v>0.28357576731440137</v>
      </c>
      <c r="CG23" s="18">
        <v>0.42615860989622822</v>
      </c>
      <c r="CH23" s="18">
        <v>0.26514592051734487</v>
      </c>
      <c r="CI23" s="19">
        <v>2.1104248973702333E-4</v>
      </c>
      <c r="CJ23" s="19">
        <v>3.2590156173739615E-6</v>
      </c>
      <c r="CK23" s="19">
        <v>9.754538818548264E-4</v>
      </c>
      <c r="CL23" s="20">
        <v>1.5377802257484641E-3</v>
      </c>
      <c r="CM23" s="20">
        <v>5.3465631738339736E-3</v>
      </c>
      <c r="CN23" s="20">
        <v>6.7913710452693898E-4</v>
      </c>
      <c r="CS23" s="1">
        <v>15</v>
      </c>
      <c r="CT23" s="15">
        <v>4.0125196167036047E-2</v>
      </c>
      <c r="CU23" s="15">
        <v>0.61833371310713403</v>
      </c>
      <c r="CV23" s="15">
        <v>1.0538995804103162</v>
      </c>
      <c r="CW23" s="16">
        <v>0.70432434398707056</v>
      </c>
      <c r="CX23" s="16">
        <v>1.1102316890587283</v>
      </c>
      <c r="CY23" s="16">
        <v>8.4181164858198279E-2</v>
      </c>
      <c r="CZ23" s="17">
        <v>0.91404873943543086</v>
      </c>
      <c r="DA23" s="17">
        <v>7.8293627353770434E-2</v>
      </c>
      <c r="DB23" s="17">
        <v>1.3304532500844122</v>
      </c>
      <c r="DC23" s="18">
        <v>0.51442559188505954</v>
      </c>
      <c r="DD23" s="18">
        <v>0.92185974275724514</v>
      </c>
      <c r="DE23" s="18">
        <v>0.4629234755408918</v>
      </c>
      <c r="DF23" s="19">
        <v>3.6980592330793094E-4</v>
      </c>
      <c r="DG23" s="19">
        <v>2.290608828999785E-4</v>
      </c>
      <c r="DH23" s="19">
        <v>1.1803939196487478E-3</v>
      </c>
      <c r="DI23" s="20">
        <v>1.6424995049544311E-3</v>
      </c>
      <c r="DJ23" s="20">
        <v>1.5124871764818915E-3</v>
      </c>
      <c r="DK23" s="20">
        <v>3.6070892532963361E-3</v>
      </c>
    </row>
    <row r="24" spans="6:115" ht="15.75" x14ac:dyDescent="0.25">
      <c r="F24" s="1">
        <v>16</v>
      </c>
      <c r="G24" s="15">
        <v>4.8963306779041885E-2</v>
      </c>
      <c r="H24" s="15">
        <v>0.10486983705322846</v>
      </c>
      <c r="I24" s="15">
        <v>5.0800779963907187E-2</v>
      </c>
      <c r="J24" s="16">
        <v>0.12860492440868179</v>
      </c>
      <c r="K24" s="16">
        <v>6.9205427004398717E-2</v>
      </c>
      <c r="L24" s="16">
        <v>0.7429284480958579</v>
      </c>
      <c r="M24" s="17">
        <v>0.88634059441540214</v>
      </c>
      <c r="N24" s="17">
        <v>0.63785482860372389</v>
      </c>
      <c r="O24" s="17">
        <v>0.84706702584394189</v>
      </c>
      <c r="P24" s="18">
        <v>0.40802755649198802</v>
      </c>
      <c r="Q24" s="18">
        <v>0.8739153087768663</v>
      </c>
      <c r="R24" s="18">
        <v>0.39077523049158103</v>
      </c>
      <c r="S24" s="19">
        <v>4.3066623122756109E-4</v>
      </c>
      <c r="T24" s="19">
        <v>9.2382337813967652E-4</v>
      </c>
      <c r="U24" s="19">
        <v>4.4174237711303022E-4</v>
      </c>
      <c r="V24" s="20">
        <v>2.2924827654480229E-4</v>
      </c>
      <c r="W24" s="20">
        <v>5.9398214669914562E-4</v>
      </c>
      <c r="X24" s="20">
        <v>3.0575018254863644E-3</v>
      </c>
      <c r="AC24" s="1">
        <v>16</v>
      </c>
      <c r="AD24" s="15">
        <v>2.0316353647996041E-2</v>
      </c>
      <c r="AE24" s="15">
        <v>0.6401635320084138</v>
      </c>
      <c r="AF24" s="15">
        <v>1.3149403365161341</v>
      </c>
      <c r="AG24" s="16">
        <v>3.1320988860994298E-2</v>
      </c>
      <c r="AH24" s="16">
        <v>0.31373426387493403</v>
      </c>
      <c r="AI24" s="16">
        <v>0.66746271400254109</v>
      </c>
      <c r="AJ24" s="17">
        <v>1.0376902977584403</v>
      </c>
      <c r="AK24" s="17">
        <v>0.7051633779814811</v>
      </c>
      <c r="AL24" s="17">
        <v>0.72887338219163633</v>
      </c>
      <c r="AM24" s="18">
        <v>0.17514097972432049</v>
      </c>
      <c r="AN24" s="18">
        <v>0.32842532376549632</v>
      </c>
      <c r="AO24" s="18">
        <v>7.6405845619691173E-2</v>
      </c>
      <c r="AP24" s="19">
        <v>1.7963306113655264E-4</v>
      </c>
      <c r="AQ24" s="19">
        <v>1.1308020550735431E-3</v>
      </c>
      <c r="AR24" s="19">
        <v>1.8328509330027831E-3</v>
      </c>
      <c r="AS24" s="20">
        <v>2.8421068462902707E-5</v>
      </c>
      <c r="AT24" s="20">
        <v>3.0061691473725061E-3</v>
      </c>
      <c r="AU24" s="20">
        <v>2.4569326763329569E-3</v>
      </c>
      <c r="AZ24" s="1">
        <v>16</v>
      </c>
      <c r="BA24" s="15">
        <v>5.4162453403518745E-2</v>
      </c>
      <c r="BB24" s="15">
        <v>0.76231681438613708</v>
      </c>
      <c r="BC24" s="15">
        <v>1.1215311945821209</v>
      </c>
      <c r="BD24" s="16">
        <v>1.1265647042927429</v>
      </c>
      <c r="BE24" s="16">
        <v>1.5565155357665288</v>
      </c>
      <c r="BF24" s="16">
        <v>0.19012298858184326</v>
      </c>
      <c r="BG24" s="17">
        <v>0.40563458605160391</v>
      </c>
      <c r="BH24" s="17">
        <v>8.3390934583698756E-3</v>
      </c>
      <c r="BI24" s="17">
        <v>1.3058466440079364</v>
      </c>
      <c r="BJ24" s="18">
        <v>0.57619631280324557</v>
      </c>
      <c r="BK24" s="18">
        <v>1.5720623864806191</v>
      </c>
      <c r="BL24" s="18">
        <v>1.0678081935879458</v>
      </c>
      <c r="BM24" s="19">
        <v>4.9044619014648738E-4</v>
      </c>
      <c r="BN24" s="19">
        <v>7.5068855137772072E-4</v>
      </c>
      <c r="BO24" s="19">
        <v>2.1034634171513966E-3</v>
      </c>
      <c r="BP24" s="20">
        <v>2.6521632127163297E-3</v>
      </c>
      <c r="BQ24" s="20">
        <v>2.5718694331277048E-3</v>
      </c>
      <c r="BR24" s="20">
        <v>3.5654133831450885E-3</v>
      </c>
      <c r="BV24" s="1">
        <v>16</v>
      </c>
      <c r="BW24" s="15">
        <v>2.1662133940028059E-2</v>
      </c>
      <c r="BX24" s="15">
        <v>0.422693112487386</v>
      </c>
      <c r="BY24" s="15">
        <v>0.73238566219834977</v>
      </c>
      <c r="BZ24" s="16">
        <v>0.50807752000538864</v>
      </c>
      <c r="CA24" s="16">
        <v>1.2290923336664537</v>
      </c>
      <c r="CB24" s="16">
        <v>0.95612681123296417</v>
      </c>
      <c r="CC24" s="17">
        <v>0.85453983843399339</v>
      </c>
      <c r="CD24" s="17">
        <v>0.87062346473311247</v>
      </c>
      <c r="CE24" s="17">
        <v>0.18772825378018254</v>
      </c>
      <c r="CF24" s="18">
        <v>0.26743375234609434</v>
      </c>
      <c r="CG24" s="18">
        <v>0.43089550228612256</v>
      </c>
      <c r="CH24" s="18">
        <v>0.27255533209683092</v>
      </c>
      <c r="CI24" s="19">
        <v>1.9903189635284146E-4</v>
      </c>
      <c r="CJ24" s="19">
        <v>6.9192546438001656E-6</v>
      </c>
      <c r="CK24" s="19">
        <v>9.8198467946375434E-4</v>
      </c>
      <c r="CL24" s="20">
        <v>1.4226682982472205E-3</v>
      </c>
      <c r="CM24" s="20">
        <v>5.3130649433527077E-3</v>
      </c>
      <c r="CN24" s="20">
        <v>8.5716431745852528E-4</v>
      </c>
      <c r="CS24" s="1">
        <v>16</v>
      </c>
      <c r="CT24" s="15">
        <v>3.7599727537596626E-2</v>
      </c>
      <c r="CU24" s="15">
        <v>0.61948282965603929</v>
      </c>
      <c r="CV24" s="15">
        <v>1.0530278597047711</v>
      </c>
      <c r="CW24" s="16">
        <v>0.70558169822483441</v>
      </c>
      <c r="CX24" s="16">
        <v>1.1169097615103196</v>
      </c>
      <c r="CY24" s="16">
        <v>9.5070373849676634E-2</v>
      </c>
      <c r="CZ24" s="17">
        <v>0.90140620651397596</v>
      </c>
      <c r="DA24" s="17">
        <v>8.106199389195072E-2</v>
      </c>
      <c r="DB24" s="17">
        <v>1.3189186336261296</v>
      </c>
      <c r="DC24" s="18">
        <v>0.48204778894363604</v>
      </c>
      <c r="DD24" s="18">
        <v>0.93718129674251094</v>
      </c>
      <c r="DE24" s="18">
        <v>0.47424452366472614</v>
      </c>
      <c r="DF24" s="19">
        <v>3.4653919010541046E-4</v>
      </c>
      <c r="DG24" s="19">
        <v>2.3975911687645901E-4</v>
      </c>
      <c r="DH24" s="19">
        <v>1.1885151306370023E-3</v>
      </c>
      <c r="DI24" s="20">
        <v>1.6518992328927729E-3</v>
      </c>
      <c r="DJ24" s="20">
        <v>1.5295125547516442E-3</v>
      </c>
      <c r="DK24" s="20">
        <v>3.5634498236372103E-3</v>
      </c>
    </row>
    <row r="25" spans="6:115" ht="15.75" x14ac:dyDescent="0.25">
      <c r="F25" s="1">
        <v>17</v>
      </c>
      <c r="G25" s="15">
        <v>5.4764007968443676E-2</v>
      </c>
      <c r="H25" s="15">
        <v>0.1012812970577377</v>
      </c>
      <c r="I25" s="15">
        <v>4.6051147882723395E-2</v>
      </c>
      <c r="J25" s="16">
        <v>0.13807085161577404</v>
      </c>
      <c r="K25" s="16">
        <v>9.2656617085929815E-2</v>
      </c>
      <c r="L25" s="16">
        <v>0.69491520541594354</v>
      </c>
      <c r="M25" s="17">
        <v>0.99675250254841219</v>
      </c>
      <c r="N25" s="17">
        <v>0.59247022476676237</v>
      </c>
      <c r="O25" s="17">
        <v>0.87775623677285641</v>
      </c>
      <c r="P25" s="18">
        <v>0.45636673307029457</v>
      </c>
      <c r="Q25" s="18">
        <v>0.84401080881459156</v>
      </c>
      <c r="R25" s="18">
        <v>0.35423959909794833</v>
      </c>
      <c r="S25" s="19">
        <v>4.8165949407852349E-4</v>
      </c>
      <c r="T25" s="19">
        <v>8.9217902459626252E-4</v>
      </c>
      <c r="U25" s="19">
        <v>4.0046056989040402E-4</v>
      </c>
      <c r="V25" s="20">
        <v>2.3978436772920109E-4</v>
      </c>
      <c r="W25" s="20">
        <v>6.6170752291749846E-4</v>
      </c>
      <c r="X25" s="20">
        <v>2.8537000715196381E-3</v>
      </c>
      <c r="AC25" s="1">
        <v>17</v>
      </c>
      <c r="AD25" s="15">
        <v>2.0366629615661352E-2</v>
      </c>
      <c r="AE25" s="15">
        <v>0.64016360066646827</v>
      </c>
      <c r="AF25" s="15">
        <v>1.3149174689592606</v>
      </c>
      <c r="AG25" s="16">
        <v>1.3973386284663014E-2</v>
      </c>
      <c r="AH25" s="16">
        <v>0.30980490427808827</v>
      </c>
      <c r="AI25" s="16">
        <v>0.69939349925907257</v>
      </c>
      <c r="AJ25" s="17">
        <v>1.0600167175266408</v>
      </c>
      <c r="AK25" s="17">
        <v>0.71110611697832682</v>
      </c>
      <c r="AL25" s="17">
        <v>0.76722097922821675</v>
      </c>
      <c r="AM25" s="18">
        <v>0.17557439323859</v>
      </c>
      <c r="AN25" s="18">
        <v>0.32842473188560117</v>
      </c>
      <c r="AO25" s="18">
        <v>7.6581749903331789E-2</v>
      </c>
      <c r="AP25" s="19">
        <v>1.8007768155714476E-4</v>
      </c>
      <c r="AQ25" s="19">
        <v>1.1308014450073232E-3</v>
      </c>
      <c r="AR25" s="19">
        <v>1.8330521068899983E-3</v>
      </c>
      <c r="AS25" s="20">
        <v>1.6511583445177891E-5</v>
      </c>
      <c r="AT25" s="20">
        <v>2.9937997073159472E-3</v>
      </c>
      <c r="AU25" s="20">
        <v>2.3359580625426091E-3</v>
      </c>
      <c r="AZ25" s="1">
        <v>17</v>
      </c>
      <c r="BA25" s="15">
        <v>5.5216093207338862E-2</v>
      </c>
      <c r="BB25" s="15">
        <v>0.76095503876143999</v>
      </c>
      <c r="BC25" s="15">
        <v>1.1219673422762411</v>
      </c>
      <c r="BD25" s="16">
        <v>1.0301355423944054</v>
      </c>
      <c r="BE25" s="16">
        <v>1.6176789380328891</v>
      </c>
      <c r="BF25" s="16">
        <v>0.18829199405958427</v>
      </c>
      <c r="BG25" s="17">
        <v>0.52998869856104802</v>
      </c>
      <c r="BH25" s="17">
        <v>5.1819080997662761E-2</v>
      </c>
      <c r="BI25" s="17">
        <v>1.3627792942668646</v>
      </c>
      <c r="BJ25" s="18">
        <v>0.5874052468864821</v>
      </c>
      <c r="BK25" s="18">
        <v>1.5572604775165406</v>
      </c>
      <c r="BL25" s="18">
        <v>1.06321716522863</v>
      </c>
      <c r="BM25" s="19">
        <v>4.9998173407794777E-4</v>
      </c>
      <c r="BN25" s="19">
        <v>7.3821851463884425E-4</v>
      </c>
      <c r="BO25" s="19">
        <v>2.0994807707346301E-3</v>
      </c>
      <c r="BP25" s="20">
        <v>2.4109262435921819E-3</v>
      </c>
      <c r="BQ25" s="20">
        <v>2.7745356087532924E-3</v>
      </c>
      <c r="BR25" s="20">
        <v>3.5740743898674543E-3</v>
      </c>
      <c r="BV25" s="1">
        <v>17</v>
      </c>
      <c r="BW25" s="15">
        <v>2.1256268738633018E-2</v>
      </c>
      <c r="BX25" s="15">
        <v>0.42217520869267527</v>
      </c>
      <c r="BY25" s="15">
        <v>0.73370918424488452</v>
      </c>
      <c r="BZ25" s="16">
        <v>0.54614112616252219</v>
      </c>
      <c r="CA25" s="16">
        <v>1.2416470844937493</v>
      </c>
      <c r="CB25" s="16">
        <v>0.94642350729539382</v>
      </c>
      <c r="CC25" s="17">
        <v>0.84478148428649791</v>
      </c>
      <c r="CD25" s="17">
        <v>0.89512144822016426</v>
      </c>
      <c r="CE25" s="17">
        <v>0.22307386238798396</v>
      </c>
      <c r="CF25" s="18">
        <v>0.26242307084740735</v>
      </c>
      <c r="CG25" s="18">
        <v>0.42472998092045239</v>
      </c>
      <c r="CH25" s="18">
        <v>0.25891077491607412</v>
      </c>
      <c r="CI25" s="19">
        <v>1.9530359545094633E-4</v>
      </c>
      <c r="CJ25" s="19">
        <v>2.1551069989689253E-6</v>
      </c>
      <c r="CK25" s="19">
        <v>9.6995803154698024E-4</v>
      </c>
      <c r="CL25" s="20">
        <v>1.5238017288534689E-3</v>
      </c>
      <c r="CM25" s="20">
        <v>5.3516638228611191E-3</v>
      </c>
      <c r="CN25" s="20">
        <v>8.1489423291614127E-4</v>
      </c>
      <c r="CS25" s="1">
        <v>17</v>
      </c>
      <c r="CT25" s="15">
        <v>3.8464310525470745E-2</v>
      </c>
      <c r="CU25" s="15">
        <v>0.61856662005508123</v>
      </c>
      <c r="CV25" s="15">
        <v>1.0530416426732652</v>
      </c>
      <c r="CW25" s="16">
        <v>0.70528660155599954</v>
      </c>
      <c r="CX25" s="16">
        <v>1.1204462942547393</v>
      </c>
      <c r="CY25" s="16">
        <v>8.4933931118983952E-2</v>
      </c>
      <c r="CZ25" s="17">
        <v>0.91329134445417259</v>
      </c>
      <c r="DA25" s="17">
        <v>8.4573666381806439E-2</v>
      </c>
      <c r="DB25" s="17">
        <v>1.3388084860317113</v>
      </c>
      <c r="DC25" s="18">
        <v>0.49313218622396598</v>
      </c>
      <c r="DD25" s="18">
        <v>0.92496516872970014</v>
      </c>
      <c r="DE25" s="18">
        <v>0.47406552407394731</v>
      </c>
      <c r="DF25" s="19">
        <v>3.5450458530039697E-4</v>
      </c>
      <c r="DG25" s="19">
        <v>2.3122921826601583E-4</v>
      </c>
      <c r="DH25" s="19">
        <v>1.1883867254908198E-3</v>
      </c>
      <c r="DI25" s="20">
        <v>1.6490160642396168E-3</v>
      </c>
      <c r="DJ25" s="20">
        <v>1.543195728443969E-3</v>
      </c>
      <c r="DK25" s="20">
        <v>3.6010860324037219E-3</v>
      </c>
    </row>
    <row r="26" spans="6:115" ht="15.75" x14ac:dyDescent="0.25">
      <c r="F26" s="1">
        <v>18</v>
      </c>
      <c r="G26" s="15">
        <v>4.1533414482927279E-2</v>
      </c>
      <c r="H26" s="15">
        <v>0.10344017995741807</v>
      </c>
      <c r="I26" s="15">
        <v>6.0333632838827728E-2</v>
      </c>
      <c r="J26" s="16">
        <v>0.1540074255724645</v>
      </c>
      <c r="K26" s="16">
        <v>6.0122365103853277E-2</v>
      </c>
      <c r="L26" s="16">
        <v>0.7733232480739104</v>
      </c>
      <c r="M26" s="17">
        <v>0.94281142272720775</v>
      </c>
      <c r="N26" s="17">
        <v>0.62118861205079545</v>
      </c>
      <c r="O26" s="17">
        <v>0.86441846628734353</v>
      </c>
      <c r="P26" s="18">
        <v>0.34611178735775522</v>
      </c>
      <c r="Q26" s="18">
        <v>0.86200149964509443</v>
      </c>
      <c r="R26" s="18">
        <v>0.46410486799100781</v>
      </c>
      <c r="S26" s="19">
        <v>3.6534230831453129E-4</v>
      </c>
      <c r="T26" s="19">
        <v>9.1121614724776201E-4</v>
      </c>
      <c r="U26" s="19">
        <v>5.2458610384398263E-4</v>
      </c>
      <c r="V26" s="20">
        <v>3.2377602111566262E-4</v>
      </c>
      <c r="W26" s="20">
        <v>5.5811432910302106E-4</v>
      </c>
      <c r="X26" s="20">
        <v>3.2115874892248986E-3</v>
      </c>
      <c r="AC26" s="1">
        <v>18</v>
      </c>
      <c r="AD26" s="15">
        <v>2.1035567153913599E-2</v>
      </c>
      <c r="AE26" s="15">
        <v>0.64130961083009386</v>
      </c>
      <c r="AF26" s="15">
        <v>1.3141614809474438</v>
      </c>
      <c r="AG26" s="16">
        <v>4.5038892882782129E-2</v>
      </c>
      <c r="AH26" s="16">
        <v>0.3136123851572713</v>
      </c>
      <c r="AI26" s="16">
        <v>0.65868954333549656</v>
      </c>
      <c r="AJ26" s="17">
        <v>1.0226059060376425</v>
      </c>
      <c r="AK26" s="17">
        <v>0.69869411563728989</v>
      </c>
      <c r="AL26" s="17">
        <v>0.70475025479341469</v>
      </c>
      <c r="AM26" s="18">
        <v>0.18134109615466598</v>
      </c>
      <c r="AN26" s="18">
        <v>0.31854533392335499</v>
      </c>
      <c r="AO26" s="18">
        <v>8.2397042301942752E-2</v>
      </c>
      <c r="AP26" s="19">
        <v>1.8599353843651301E-4</v>
      </c>
      <c r="AQ26" s="19">
        <v>1.1206183692166194E-3</v>
      </c>
      <c r="AR26" s="19">
        <v>1.8397027450637313E-3</v>
      </c>
      <c r="AS26" s="20">
        <v>6.199225082426095E-5</v>
      </c>
      <c r="AT26" s="20">
        <v>3.0094279939435475E-3</v>
      </c>
      <c r="AU26" s="20">
        <v>2.4871744416752333E-3</v>
      </c>
      <c r="AZ26" s="1">
        <v>18</v>
      </c>
      <c r="BA26" s="15">
        <v>7.7727604402080486E-2</v>
      </c>
      <c r="BB26" s="15">
        <v>0.75389342715570662</v>
      </c>
      <c r="BC26" s="15">
        <v>1.1372551469943903</v>
      </c>
      <c r="BD26" s="16">
        <v>1.0681254519657506</v>
      </c>
      <c r="BE26" s="16">
        <v>1.6243665018072742</v>
      </c>
      <c r="BF26" s="16">
        <v>0.19852176149164155</v>
      </c>
      <c r="BG26" s="17">
        <v>0.55889839194124935</v>
      </c>
      <c r="BH26" s="17">
        <v>0.10120453424611663</v>
      </c>
      <c r="BI26" s="17">
        <v>1.2892915077065508</v>
      </c>
      <c r="BJ26" s="18">
        <v>0.82688940853277215</v>
      </c>
      <c r="BK26" s="18">
        <v>1.4805038296281749</v>
      </c>
      <c r="BL26" s="18">
        <v>0.90229290503756976</v>
      </c>
      <c r="BM26" s="19">
        <v>7.0366515381559136E-4</v>
      </c>
      <c r="BN26" s="19">
        <v>6.7355949100522661E-4</v>
      </c>
      <c r="BO26" s="19">
        <v>1.9598592496206098E-3</v>
      </c>
      <c r="BP26" s="20">
        <v>2.4486727660214536E-3</v>
      </c>
      <c r="BQ26" s="20">
        <v>2.8189128943528763E-3</v>
      </c>
      <c r="BR26" s="20">
        <v>3.5939152478901004E-3</v>
      </c>
      <c r="BV26" s="1">
        <v>18</v>
      </c>
      <c r="BW26" s="15">
        <v>2.0855777414765311E-2</v>
      </c>
      <c r="BX26" s="15">
        <v>0.42361158011619704</v>
      </c>
      <c r="BY26" s="15">
        <v>0.73268329578597446</v>
      </c>
      <c r="BZ26" s="16">
        <v>0.52231263134098627</v>
      </c>
      <c r="CA26" s="16">
        <v>1.2356407594660639</v>
      </c>
      <c r="CB26" s="16">
        <v>0.9324225356274104</v>
      </c>
      <c r="CC26" s="17">
        <v>0.83064836024356081</v>
      </c>
      <c r="CD26" s="17">
        <v>0.86270751064191753</v>
      </c>
      <c r="CE26" s="17">
        <v>0.14825291627778167</v>
      </c>
      <c r="CF26" s="18">
        <v>0.25747873351560407</v>
      </c>
      <c r="CG26" s="18">
        <v>0.4418296407243712</v>
      </c>
      <c r="CH26" s="18">
        <v>0.26948694459550265</v>
      </c>
      <c r="CI26" s="19">
        <v>1.9162462963551175E-4</v>
      </c>
      <c r="CJ26" s="19">
        <v>1.5368272693661034E-5</v>
      </c>
      <c r="CK26" s="19">
        <v>9.7928015528692125E-4</v>
      </c>
      <c r="CL26" s="20">
        <v>1.4587421532800127E-3</v>
      </c>
      <c r="CM26" s="20">
        <v>5.3370757266120172E-3</v>
      </c>
      <c r="CN26" s="20">
        <v>7.6513921109144789E-4</v>
      </c>
      <c r="CS26" s="1">
        <v>18</v>
      </c>
      <c r="CT26" s="15">
        <v>3.8600828588210158E-2</v>
      </c>
      <c r="CU26" s="15">
        <v>0.61832910149706732</v>
      </c>
      <c r="CV26" s="15">
        <v>1.0517520162894334</v>
      </c>
      <c r="CW26" s="16">
        <v>0.7138894243883438</v>
      </c>
      <c r="CX26" s="16">
        <v>1.1128456597292162</v>
      </c>
      <c r="CY26" s="16">
        <v>9.7057564409111494E-2</v>
      </c>
      <c r="CZ26" s="17">
        <v>0.90714333815479997</v>
      </c>
      <c r="DA26" s="17">
        <v>8.4228200492323102E-2</v>
      </c>
      <c r="DB26" s="17">
        <v>1.3322807946857438</v>
      </c>
      <c r="DC26" s="18">
        <v>0.49488241779749437</v>
      </c>
      <c r="DD26" s="18">
        <v>0.92179825462305964</v>
      </c>
      <c r="DE26" s="18">
        <v>0.49081391866927493</v>
      </c>
      <c r="DF26" s="19">
        <v>3.5576231238299005E-4</v>
      </c>
      <c r="DG26" s="19">
        <v>2.2901794947360887E-4</v>
      </c>
      <c r="DH26" s="19">
        <v>1.2004010117629971E-3</v>
      </c>
      <c r="DI26" s="20">
        <v>1.6699583320689548E-3</v>
      </c>
      <c r="DJ26" s="20">
        <v>1.5205421373922778E-3</v>
      </c>
      <c r="DK26" s="20">
        <v>3.5513047324248204E-3</v>
      </c>
    </row>
    <row r="27" spans="6:115" ht="15.75" x14ac:dyDescent="0.25">
      <c r="F27" s="1">
        <v>19</v>
      </c>
      <c r="G27" s="15">
        <v>6.1535611832463477E-2</v>
      </c>
      <c r="H27" s="15">
        <v>0.10184865179922781</v>
      </c>
      <c r="I27" s="15">
        <v>3.8837663551571949E-2</v>
      </c>
      <c r="J27" s="16">
        <v>0.11588508468972743</v>
      </c>
      <c r="K27" s="16">
        <v>0.1086242437708707</v>
      </c>
      <c r="L27" s="16">
        <v>0.6443704942921934</v>
      </c>
      <c r="M27" s="17">
        <v>0.98369248564528444</v>
      </c>
      <c r="N27" s="17">
        <v>0.56494955715169026</v>
      </c>
      <c r="O27" s="17">
        <v>0.81918438022455398</v>
      </c>
      <c r="P27" s="18">
        <v>0.51279676527052909</v>
      </c>
      <c r="Q27" s="18">
        <v>0.84873876499363865</v>
      </c>
      <c r="R27" s="18">
        <v>0.29875125808904035</v>
      </c>
      <c r="S27" s="19">
        <v>5.4118036547667881E-4</v>
      </c>
      <c r="T27" s="19">
        <v>8.9718190350607241E-4</v>
      </c>
      <c r="U27" s="19">
        <v>3.3775649616707426E-4</v>
      </c>
      <c r="V27" s="20">
        <v>1.5642681290151117E-4</v>
      </c>
      <c r="W27" s="20">
        <v>7.1810428609120347E-4</v>
      </c>
      <c r="X27" s="20">
        <v>2.6307471950232086E-3</v>
      </c>
      <c r="AC27" s="1">
        <v>19</v>
      </c>
      <c r="AD27" s="15">
        <v>3.5110612736044829E-2</v>
      </c>
      <c r="AE27" s="15">
        <v>0.64337465374111436</v>
      </c>
      <c r="AF27" s="15">
        <v>1.3025394298037152</v>
      </c>
      <c r="AG27" s="16">
        <v>1.6959407551607718E-3</v>
      </c>
      <c r="AH27" s="16">
        <v>0.27651817595285355</v>
      </c>
      <c r="AI27" s="16">
        <v>0.77556080694624452</v>
      </c>
      <c r="AJ27" s="17">
        <v>1.0238424265155308</v>
      </c>
      <c r="AK27" s="17">
        <v>0.74634074204601497</v>
      </c>
      <c r="AL27" s="17">
        <v>0.78669855227332408</v>
      </c>
      <c r="AM27" s="18">
        <v>0.30267769600053829</v>
      </c>
      <c r="AN27" s="18">
        <v>0.30074323986284823</v>
      </c>
      <c r="AO27" s="18">
        <v>0.1717974357151639</v>
      </c>
      <c r="AP27" s="19">
        <v>3.1048683041556835E-4</v>
      </c>
      <c r="AQ27" s="19">
        <v>1.1022684725492393E-3</v>
      </c>
      <c r="AR27" s="19">
        <v>1.9419323598619531E-3</v>
      </c>
      <c r="AS27" s="20">
        <v>8.6312291406320796E-5</v>
      </c>
      <c r="AT27" s="20">
        <v>2.8992110438814667E-3</v>
      </c>
      <c r="AU27" s="20">
        <v>2.0003310056879724E-3</v>
      </c>
      <c r="AZ27" s="1">
        <v>19</v>
      </c>
      <c r="BA27" s="15">
        <v>7.9082867133502446E-2</v>
      </c>
      <c r="BB27" s="15">
        <v>0.75940431613070203</v>
      </c>
      <c r="BC27" s="15">
        <v>1.1479873786686681</v>
      </c>
      <c r="BD27" s="16">
        <v>0.89438036979846303</v>
      </c>
      <c r="BE27" s="16">
        <v>1.5281828166288636</v>
      </c>
      <c r="BF27" s="16">
        <v>6.2135270375581206E-3</v>
      </c>
      <c r="BG27" s="17">
        <v>0.54403838158890527</v>
      </c>
      <c r="BH27" s="17">
        <v>0.11458942121766351</v>
      </c>
      <c r="BI27" s="17">
        <v>1.2836161182889527</v>
      </c>
      <c r="BJ27" s="18">
        <v>0.84130709716487706</v>
      </c>
      <c r="BK27" s="18">
        <v>1.540404796747691</v>
      </c>
      <c r="BL27" s="18">
        <v>0.78932204530850225</v>
      </c>
      <c r="BM27" s="19">
        <v>7.159246025271182E-4</v>
      </c>
      <c r="BN27" s="19">
        <v>7.2401867120619467E-4</v>
      </c>
      <c r="BO27" s="19">
        <v>1.8618173813297336E-3</v>
      </c>
      <c r="BP27" s="20">
        <v>2.0155334081164433E-3</v>
      </c>
      <c r="BQ27" s="20">
        <v>2.4893942895505283E-3</v>
      </c>
      <c r="BR27" s="20">
        <v>4.4153932910533369E-3</v>
      </c>
      <c r="BV27" s="1">
        <v>19</v>
      </c>
      <c r="BW27" s="15">
        <v>2.088436362847898E-2</v>
      </c>
      <c r="BX27" s="15">
        <v>0.4229062818429567</v>
      </c>
      <c r="BY27" s="15">
        <v>0.73337849247538678</v>
      </c>
      <c r="BZ27" s="16">
        <v>0.51880491261217709</v>
      </c>
      <c r="CA27" s="16">
        <v>1.2353430561433629</v>
      </c>
      <c r="CB27" s="16">
        <v>0.96405865145761904</v>
      </c>
      <c r="CC27" s="17">
        <v>0.8439761949639949</v>
      </c>
      <c r="CD27" s="17">
        <v>0.86188315640208335</v>
      </c>
      <c r="CE27" s="17">
        <v>0.15208074033215743</v>
      </c>
      <c r="CF27" s="18">
        <v>0.25783164973439454</v>
      </c>
      <c r="CG27" s="18">
        <v>0.43343323270964867</v>
      </c>
      <c r="CH27" s="18">
        <v>0.26231996841603716</v>
      </c>
      <c r="CI27" s="19">
        <v>1.9188722731944274E-4</v>
      </c>
      <c r="CJ27" s="19">
        <v>8.8801936246607482E-6</v>
      </c>
      <c r="CK27" s="19">
        <v>9.7296300850890916E-4</v>
      </c>
      <c r="CL27" s="20">
        <v>1.4493986785893975E-3</v>
      </c>
      <c r="CM27" s="20">
        <v>5.3338193485705787E-3</v>
      </c>
      <c r="CN27" s="20">
        <v>8.8378185941273557E-4</v>
      </c>
      <c r="CS27" s="1">
        <v>19</v>
      </c>
      <c r="CT27" s="15">
        <v>3.9818816432393114E-2</v>
      </c>
      <c r="CU27" s="15">
        <v>0.61699858367731819</v>
      </c>
      <c r="CV27" s="15">
        <v>1.0501252386879814</v>
      </c>
      <c r="CW27" s="16">
        <v>0.7060757883859623</v>
      </c>
      <c r="CX27" s="16">
        <v>1.124727057461719</v>
      </c>
      <c r="CY27" s="16">
        <v>0.10479784768443186</v>
      </c>
      <c r="CZ27" s="17">
        <v>0.89672799790254765</v>
      </c>
      <c r="DA27" s="17">
        <v>8.3056350889210623E-2</v>
      </c>
      <c r="DB27" s="17">
        <v>1.3147012306784174</v>
      </c>
      <c r="DC27" s="18">
        <v>0.5104976465691784</v>
      </c>
      <c r="DD27" s="18">
        <v>0.90405801702613064</v>
      </c>
      <c r="DE27" s="18">
        <v>0.51194090050627872</v>
      </c>
      <c r="DF27" s="19">
        <v>3.6698335907658919E-4</v>
      </c>
      <c r="DG27" s="19">
        <v>2.1663118636339185E-4</v>
      </c>
      <c r="DH27" s="19">
        <v>1.2155557852709942E-3</v>
      </c>
      <c r="DI27" s="20">
        <v>1.6475952280298189E-3</v>
      </c>
      <c r="DJ27" s="20">
        <v>1.5611629975673669E-3</v>
      </c>
      <c r="DK27" s="20">
        <v>3.5165126869238783E-3</v>
      </c>
    </row>
    <row r="28" spans="6:115" ht="15.75" x14ac:dyDescent="0.25">
      <c r="F28" s="1">
        <v>20</v>
      </c>
      <c r="G28" s="15">
        <v>4.5279594301118775E-2</v>
      </c>
      <c r="H28" s="15">
        <v>0.10358321135053605</v>
      </c>
      <c r="I28" s="15">
        <v>5.7651401417114348E-2</v>
      </c>
      <c r="J28" s="16">
        <v>0.13016734329327628</v>
      </c>
      <c r="K28" s="16">
        <v>7.4285310578283401E-2</v>
      </c>
      <c r="L28" s="16">
        <v>0.71279598087132334</v>
      </c>
      <c r="M28" s="17">
        <v>0.89418763750451369</v>
      </c>
      <c r="N28" s="17">
        <v>0.61621946454297605</v>
      </c>
      <c r="O28" s="17">
        <v>0.80951559709913046</v>
      </c>
      <c r="P28" s="18">
        <v>0.3773299525094066</v>
      </c>
      <c r="Q28" s="18">
        <v>0.86319342792098508</v>
      </c>
      <c r="R28" s="18">
        <v>0.44347231859322539</v>
      </c>
      <c r="S28" s="19">
        <v>3.9828009024078792E-4</v>
      </c>
      <c r="T28" s="19">
        <v>9.124774333129082E-4</v>
      </c>
      <c r="U28" s="19">
        <v>5.0127819842249455E-4</v>
      </c>
      <c r="V28" s="20">
        <v>2.4435773743503031E-4</v>
      </c>
      <c r="W28" s="20">
        <v>6.0691310380989183E-4</v>
      </c>
      <c r="X28" s="20">
        <v>2.9672973999943508E-3</v>
      </c>
      <c r="AC28" s="1">
        <v>20</v>
      </c>
      <c r="AD28" s="15">
        <v>1.9799481871501851E-2</v>
      </c>
      <c r="AE28" s="15">
        <v>0.6411993011166367</v>
      </c>
      <c r="AF28" s="15">
        <v>1.3177869872289625</v>
      </c>
      <c r="AG28" s="16">
        <v>2.5880624800147054E-2</v>
      </c>
      <c r="AH28" s="16">
        <v>0.31454998969257519</v>
      </c>
      <c r="AI28" s="16">
        <v>0.68137625635061416</v>
      </c>
      <c r="AJ28" s="17">
        <v>1.0680596598231695</v>
      </c>
      <c r="AK28" s="17">
        <v>0.70627930373163406</v>
      </c>
      <c r="AL28" s="17">
        <v>0.77148799865201012</v>
      </c>
      <c r="AM28" s="18">
        <v>0.17068518854747317</v>
      </c>
      <c r="AN28" s="18">
        <v>0.31949627972904915</v>
      </c>
      <c r="AO28" s="18">
        <v>5.4508532443992397E-2</v>
      </c>
      <c r="AP28" s="19">
        <v>1.7506208112938459E-4</v>
      </c>
      <c r="AQ28" s="19">
        <v>1.1215985558826749E-3</v>
      </c>
      <c r="AR28" s="19">
        <v>1.8078072239260392E-3</v>
      </c>
      <c r="AS28" s="20">
        <v>1.5705379309505219E-5</v>
      </c>
      <c r="AT28" s="20">
        <v>3.0120289941308891E-3</v>
      </c>
      <c r="AU28" s="20">
        <v>2.4151070440688871E-3</v>
      </c>
      <c r="AZ28" s="1">
        <v>20</v>
      </c>
      <c r="BA28" s="15">
        <v>5.7563778590419973E-2</v>
      </c>
      <c r="BB28" s="15">
        <v>0.76482655183435688</v>
      </c>
      <c r="BC28" s="15">
        <v>1.1360539049264695</v>
      </c>
      <c r="BD28" s="16">
        <v>0.92928705003418943</v>
      </c>
      <c r="BE28" s="16">
        <v>1.6436988908856365</v>
      </c>
      <c r="BF28" s="16">
        <v>5.2340319797581192E-2</v>
      </c>
      <c r="BG28" s="17">
        <v>0.5788762716170669</v>
      </c>
      <c r="BH28" s="17">
        <v>5.6038264867226122E-2</v>
      </c>
      <c r="BI28" s="17">
        <v>1.4366952140078111</v>
      </c>
      <c r="BJ28" s="18">
        <v>0.61238062330229714</v>
      </c>
      <c r="BK28" s="18">
        <v>1.5993421413526141</v>
      </c>
      <c r="BL28" s="18">
        <v>0.91493755838404478</v>
      </c>
      <c r="BM28" s="19">
        <v>5.2122779561480925E-4</v>
      </c>
      <c r="BN28" s="19">
        <v>7.7367158808638859E-4</v>
      </c>
      <c r="BO28" s="19">
        <v>1.97083159949063E-3</v>
      </c>
      <c r="BP28" s="20">
        <v>2.1555561303679971E-3</v>
      </c>
      <c r="BQ28" s="20">
        <v>2.8464580799147932E-3</v>
      </c>
      <c r="BR28" s="20">
        <v>4.1464472264206584E-3</v>
      </c>
      <c r="BV28" s="1">
        <v>20</v>
      </c>
      <c r="BW28" s="15">
        <v>2.0752126652318598E-2</v>
      </c>
      <c r="BX28" s="15">
        <v>0.42304643727479713</v>
      </c>
      <c r="BY28" s="15">
        <v>0.731810596361118</v>
      </c>
      <c r="BZ28" s="16">
        <v>0.49481813263395097</v>
      </c>
      <c r="CA28" s="16">
        <v>1.2195511033763666</v>
      </c>
      <c r="CB28" s="16">
        <v>0.97579632297903318</v>
      </c>
      <c r="CC28" s="17">
        <v>0.86730048190846942</v>
      </c>
      <c r="CD28" s="17">
        <v>0.87920604913224243</v>
      </c>
      <c r="CE28" s="17">
        <v>0.21844096651914666</v>
      </c>
      <c r="CF28" s="18">
        <v>0.2561990944731552</v>
      </c>
      <c r="CG28" s="18">
        <v>0.43510174975519245</v>
      </c>
      <c r="CH28" s="18">
        <v>0.27848384588285213</v>
      </c>
      <c r="CI28" s="19">
        <v>1.9067247534121368E-4</v>
      </c>
      <c r="CJ28" s="19">
        <v>1.0169484123911943E-5</v>
      </c>
      <c r="CK28" s="19">
        <v>9.8721011722280316E-4</v>
      </c>
      <c r="CL28" s="20">
        <v>1.3846297289017429E-3</v>
      </c>
      <c r="CM28" s="20">
        <v>5.2835984480409381E-3</v>
      </c>
      <c r="CN28" s="20">
        <v>9.3479402746565743E-4</v>
      </c>
      <c r="CS28" s="1">
        <v>20</v>
      </c>
      <c r="CT28" s="15">
        <v>4.1740384101999296E-2</v>
      </c>
      <c r="CU28" s="15">
        <v>0.61734421286344432</v>
      </c>
      <c r="CV28" s="15">
        <v>1.0536918211233985</v>
      </c>
      <c r="CW28" s="16">
        <v>0.7031889113908012</v>
      </c>
      <c r="CX28" s="16">
        <v>1.1110722971985527</v>
      </c>
      <c r="CY28" s="16">
        <v>9.3218898944325529E-2</v>
      </c>
      <c r="CZ28" s="17">
        <v>0.92182402249240225</v>
      </c>
      <c r="DA28" s="17">
        <v>7.8572878494877582E-2</v>
      </c>
      <c r="DB28" s="17">
        <v>1.340994490989325</v>
      </c>
      <c r="DC28" s="18">
        <v>0.53513312951275771</v>
      </c>
      <c r="DD28" s="18">
        <v>0.90866640617462868</v>
      </c>
      <c r="DE28" s="18">
        <v>0.46562164809821011</v>
      </c>
      <c r="DF28" s="19">
        <v>3.846857721016006E-4</v>
      </c>
      <c r="DG28" s="19">
        <v>2.1984886925474623E-4</v>
      </c>
      <c r="DH28" s="19">
        <v>1.1823294803336992E-3</v>
      </c>
      <c r="DI28" s="20">
        <v>1.6356685792154879E-3</v>
      </c>
      <c r="DJ28" s="20">
        <v>1.5181016549982163E-3</v>
      </c>
      <c r="DK28" s="20">
        <v>3.5728008682440748E-3</v>
      </c>
    </row>
    <row r="29" spans="6:115" ht="15.75" x14ac:dyDescent="0.25">
      <c r="F29" s="1">
        <v>21</v>
      </c>
      <c r="G29" s="15">
        <v>6.198552261517034E-2</v>
      </c>
      <c r="H29" s="15">
        <v>0.10115685179801139</v>
      </c>
      <c r="I29" s="15">
        <v>4.307601232866682E-2</v>
      </c>
      <c r="J29" s="16">
        <v>8.7366999337752049E-2</v>
      </c>
      <c r="K29" s="16">
        <v>8.2575512866550974E-2</v>
      </c>
      <c r="L29" s="16">
        <v>0.68735579483956277</v>
      </c>
      <c r="M29" s="17">
        <v>0.92556637229166772</v>
      </c>
      <c r="N29" s="17">
        <v>0.61352679658310161</v>
      </c>
      <c r="O29" s="17">
        <v>0.85562089640866434</v>
      </c>
      <c r="P29" s="18">
        <v>0.51654602179304454</v>
      </c>
      <c r="Q29" s="18">
        <v>0.84297376498333532</v>
      </c>
      <c r="R29" s="18">
        <v>0.33135394098978277</v>
      </c>
      <c r="S29" s="19">
        <v>5.4513469442418749E-4</v>
      </c>
      <c r="T29" s="19">
        <v>8.9108168600293691E-4</v>
      </c>
      <c r="U29" s="19">
        <v>3.7459994454114298E-4</v>
      </c>
      <c r="V29" s="20">
        <v>7.3052628210890092E-5</v>
      </c>
      <c r="W29" s="20">
        <v>6.2689875462929034E-4</v>
      </c>
      <c r="X29" s="20">
        <v>2.8130760104403407E-3</v>
      </c>
      <c r="AC29" s="1">
        <v>21</v>
      </c>
      <c r="AD29" s="15">
        <v>1.8006245434277299E-2</v>
      </c>
      <c r="AE29" s="15">
        <v>0.64064604614053633</v>
      </c>
      <c r="AF29" s="15">
        <v>1.3189699356223017</v>
      </c>
      <c r="AG29" s="16">
        <v>1.6876977178650384E-2</v>
      </c>
      <c r="AH29" s="16">
        <v>0.31626123201439171</v>
      </c>
      <c r="AI29" s="16">
        <v>0.68958220817036653</v>
      </c>
      <c r="AJ29" s="17">
        <v>1.0833750769807202</v>
      </c>
      <c r="AK29" s="17">
        <v>0.7041728872439188</v>
      </c>
      <c r="AL29" s="17">
        <v>0.78580240424133518</v>
      </c>
      <c r="AM29" s="18">
        <v>0.15522625374389989</v>
      </c>
      <c r="AN29" s="18">
        <v>0.32426571917819064</v>
      </c>
      <c r="AO29" s="18">
        <v>4.5408929418362526E-2</v>
      </c>
      <c r="AP29" s="19">
        <v>1.5920387627998966E-4</v>
      </c>
      <c r="AQ29" s="19">
        <v>1.1265146191364872E-3</v>
      </c>
      <c r="AR29" s="19">
        <v>1.7973996860346508E-3</v>
      </c>
      <c r="AS29" s="20">
        <v>2.9164436812223471E-6</v>
      </c>
      <c r="AT29" s="20">
        <v>3.0156575753172983E-3</v>
      </c>
      <c r="AU29" s="20">
        <v>2.3885465726840582E-3</v>
      </c>
      <c r="AZ29" s="1">
        <v>21</v>
      </c>
      <c r="BA29" s="15">
        <v>5.2074300158733981E-2</v>
      </c>
      <c r="BB29" s="15">
        <v>0.7600109046307385</v>
      </c>
      <c r="BC29" s="15">
        <v>1.113332594864278</v>
      </c>
      <c r="BD29" s="16">
        <v>1.010748369780234</v>
      </c>
      <c r="BE29" s="16">
        <v>1.6988971987585617</v>
      </c>
      <c r="BF29" s="16">
        <v>0.29724332295536887</v>
      </c>
      <c r="BG29" s="17">
        <v>0.34307346362810037</v>
      </c>
      <c r="BH29" s="17">
        <v>3.9933102798984522E-2</v>
      </c>
      <c r="BI29" s="17">
        <v>1.325005266403704</v>
      </c>
      <c r="BJ29" s="18">
        <v>0.55398191658204321</v>
      </c>
      <c r="BK29" s="18">
        <v>1.5469981500089365</v>
      </c>
      <c r="BL29" s="18">
        <v>1.1541092432493347</v>
      </c>
      <c r="BM29" s="19">
        <v>4.7154760432310821E-4</v>
      </c>
      <c r="BN29" s="19">
        <v>7.2957310087173877E-4</v>
      </c>
      <c r="BO29" s="19">
        <v>2.1783217118469533E-3</v>
      </c>
      <c r="BP29" s="20">
        <v>2.3708059227645073E-3</v>
      </c>
      <c r="BQ29" s="20">
        <v>3.0409202373126165E-3</v>
      </c>
      <c r="BR29" s="20">
        <v>3.1251958637339423E-3</v>
      </c>
      <c r="BV29" s="1">
        <v>21</v>
      </c>
      <c r="BW29" s="15">
        <v>2.4369643954945921E-2</v>
      </c>
      <c r="BX29" s="15">
        <v>0.42270062207752673</v>
      </c>
      <c r="BY29" s="15">
        <v>0.73582704747619887</v>
      </c>
      <c r="BZ29" s="16">
        <v>0.52265313348501508</v>
      </c>
      <c r="CA29" s="16">
        <v>1.2329389249021798</v>
      </c>
      <c r="CB29" s="16">
        <v>0.93541435320364463</v>
      </c>
      <c r="CC29" s="17">
        <v>0.85224855970169699</v>
      </c>
      <c r="CD29" s="17">
        <v>0.85995995263357539</v>
      </c>
      <c r="CE29" s="17">
        <v>0.16695407206616592</v>
      </c>
      <c r="CF29" s="18">
        <v>0.30085980191284395</v>
      </c>
      <c r="CG29" s="18">
        <v>0.4309849021687937</v>
      </c>
      <c r="CH29" s="18">
        <v>0.23707713335634492</v>
      </c>
      <c r="CI29" s="19">
        <v>2.2390246371273292E-4</v>
      </c>
      <c r="CJ29" s="19">
        <v>6.9883350122257326E-6</v>
      </c>
      <c r="CK29" s="19">
        <v>9.5071265627610924E-4</v>
      </c>
      <c r="CL29" s="20">
        <v>1.469041278748362E-3</v>
      </c>
      <c r="CM29" s="20">
        <v>5.3254334293681982E-3</v>
      </c>
      <c r="CN29" s="20">
        <v>7.6458095899134548E-4</v>
      </c>
      <c r="CS29" s="1">
        <v>21</v>
      </c>
      <c r="CT29" s="15">
        <v>4.0578455751085277E-2</v>
      </c>
      <c r="CU29" s="15">
        <v>0.61656173880224496</v>
      </c>
      <c r="CV29" s="15">
        <v>1.0520997095880285</v>
      </c>
      <c r="CW29" s="16">
        <v>0.71867693319065418</v>
      </c>
      <c r="CX29" s="16">
        <v>1.1245651574110234</v>
      </c>
      <c r="CY29" s="16">
        <v>0.11163383039520687</v>
      </c>
      <c r="CZ29" s="17">
        <v>0.9462759213376486</v>
      </c>
      <c r="DA29" s="17">
        <v>8.9418650555297172E-2</v>
      </c>
      <c r="DB29" s="17">
        <v>1.3857064175022542</v>
      </c>
      <c r="DC29" s="18">
        <v>0.52023661219331141</v>
      </c>
      <c r="DD29" s="18">
        <v>0.89823341869209539</v>
      </c>
      <c r="DE29" s="18">
        <v>0.48629842128490652</v>
      </c>
      <c r="DF29" s="19">
        <v>3.7398160606449959E-4</v>
      </c>
      <c r="DG29" s="19">
        <v>2.1256435037197985E-4</v>
      </c>
      <c r="DH29" s="19">
        <v>1.1971618976203136E-3</v>
      </c>
      <c r="DI29" s="20">
        <v>1.6768764880439324E-3</v>
      </c>
      <c r="DJ29" s="20">
        <v>1.5620018972094529E-3</v>
      </c>
      <c r="DK29" s="20">
        <v>3.4985545301244869E-3</v>
      </c>
    </row>
    <row r="30" spans="6:115" ht="15.75" x14ac:dyDescent="0.25">
      <c r="F30" s="1">
        <v>22</v>
      </c>
      <c r="G30" s="15">
        <v>5.2240641337830317E-2</v>
      </c>
      <c r="H30" s="15">
        <v>0.10125109645206247</v>
      </c>
      <c r="I30" s="15">
        <v>4.6100135721051171E-2</v>
      </c>
      <c r="J30" s="16">
        <v>0.15536018659764123</v>
      </c>
      <c r="K30" s="16">
        <v>7.7365584897381615E-2</v>
      </c>
      <c r="L30" s="16">
        <v>0.71092399082725544</v>
      </c>
      <c r="M30" s="17">
        <v>0.98345049714303745</v>
      </c>
      <c r="N30" s="17">
        <v>0.59687815547453238</v>
      </c>
      <c r="O30" s="17">
        <v>0.86100969562140672</v>
      </c>
      <c r="P30" s="18">
        <v>0.43533867781529439</v>
      </c>
      <c r="Q30" s="18">
        <v>0.84375913710046468</v>
      </c>
      <c r="R30" s="18">
        <v>0.35461642862345782</v>
      </c>
      <c r="S30" s="19">
        <v>4.594776097227582E-4</v>
      </c>
      <c r="T30" s="19">
        <v>8.9191272018662715E-4</v>
      </c>
      <c r="U30" s="19">
        <v>4.0088637161173057E-4</v>
      </c>
      <c r="V30" s="20">
        <v>2.9681691963356904E-4</v>
      </c>
      <c r="W30" s="20">
        <v>6.0945079045726669E-4</v>
      </c>
      <c r="X30" s="20">
        <v>2.9157572585557512E-3</v>
      </c>
      <c r="AC30" s="1">
        <v>22</v>
      </c>
      <c r="AD30" s="15">
        <v>6.3071315535316911E-4</v>
      </c>
      <c r="AE30" s="15">
        <v>0.63614407809925388</v>
      </c>
      <c r="AF30" s="15">
        <v>1.3435918321429456</v>
      </c>
      <c r="AG30" s="16">
        <v>0.11200010626980406</v>
      </c>
      <c r="AH30" s="16">
        <v>0.32205182399096494</v>
      </c>
      <c r="AI30" s="16">
        <v>0.59395331520089878</v>
      </c>
      <c r="AJ30" s="17">
        <v>1.204370927154609</v>
      </c>
      <c r="AK30" s="17">
        <v>0.73198729923431116</v>
      </c>
      <c r="AL30" s="17">
        <v>0.99266763729135465</v>
      </c>
      <c r="AM30" s="18">
        <v>5.437182373517627E-3</v>
      </c>
      <c r="AN30" s="18">
        <v>0.36307578849961991</v>
      </c>
      <c r="AO30" s="18">
        <v>0.14399027458653413</v>
      </c>
      <c r="AP30" s="19">
        <v>5.5754691278275806E-6</v>
      </c>
      <c r="AQ30" s="19">
        <v>1.1665157662216206E-3</v>
      </c>
      <c r="AR30" s="19">
        <v>1.5807204557558574E-3</v>
      </c>
      <c r="AS30" s="20">
        <v>2.9081457651258802E-4</v>
      </c>
      <c r="AT30" s="20">
        <v>3.0195774750868543E-3</v>
      </c>
      <c r="AU30" s="20">
        <v>2.8443357259437807E-3</v>
      </c>
      <c r="AZ30" s="1">
        <v>22</v>
      </c>
      <c r="BA30" s="15">
        <v>6.6165922606404498E-2</v>
      </c>
      <c r="BB30" s="15">
        <v>0.76115506968264823</v>
      </c>
      <c r="BC30" s="15">
        <v>1.1332008778108704</v>
      </c>
      <c r="BD30" s="16">
        <v>1.0156796218418511</v>
      </c>
      <c r="BE30" s="16">
        <v>1.5379305768712477</v>
      </c>
      <c r="BF30" s="16">
        <v>0.12460540042672305</v>
      </c>
      <c r="BG30" s="17">
        <v>0.47466765500355285</v>
      </c>
      <c r="BH30" s="17">
        <v>9.6202791127404555E-2</v>
      </c>
      <c r="BI30" s="17">
        <v>1.2189829819801139</v>
      </c>
      <c r="BJ30" s="18">
        <v>0.70389279368511137</v>
      </c>
      <c r="BK30" s="18">
        <v>1.559434726660109</v>
      </c>
      <c r="BL30" s="18">
        <v>0.94496942275884466</v>
      </c>
      <c r="BM30" s="19">
        <v>5.990668806852284E-4</v>
      </c>
      <c r="BN30" s="19">
        <v>7.4005021414236261E-4</v>
      </c>
      <c r="BO30" s="19">
        <v>1.996890566975162E-3</v>
      </c>
      <c r="BP30" s="20">
        <v>2.3478098045407458E-3</v>
      </c>
      <c r="BQ30" s="20">
        <v>2.5153604015432096E-3</v>
      </c>
      <c r="BR30" s="20">
        <v>3.8601147001799951E-3</v>
      </c>
      <c r="BV30" s="1">
        <v>22</v>
      </c>
      <c r="BW30" s="15">
        <v>2.0709453128634644E-2</v>
      </c>
      <c r="BX30" s="15">
        <v>0.42286810524967611</v>
      </c>
      <c r="BY30" s="15">
        <v>0.73188803729397267</v>
      </c>
      <c r="BZ30" s="16">
        <v>0.51589389184952772</v>
      </c>
      <c r="CA30" s="16">
        <v>1.2365002190094687</v>
      </c>
      <c r="CB30" s="16">
        <v>0.95053208208579643</v>
      </c>
      <c r="CC30" s="17">
        <v>0.8331268330025775</v>
      </c>
      <c r="CD30" s="17">
        <v>0.86723707749049528</v>
      </c>
      <c r="CE30" s="17">
        <v>0.15467712838986866</v>
      </c>
      <c r="CF30" s="18">
        <v>0.25567226084727263</v>
      </c>
      <c r="CG30" s="18">
        <v>0.43297874945630849</v>
      </c>
      <c r="CH30" s="18">
        <v>0.27768548575024521</v>
      </c>
      <c r="CI30" s="19">
        <v>1.9028046820779299E-4</v>
      </c>
      <c r="CJ30" s="19">
        <v>8.5290075862998194E-6</v>
      </c>
      <c r="CK30" s="19">
        <v>9.8650643997422183E-4</v>
      </c>
      <c r="CL30" s="20">
        <v>1.4411140588362903E-3</v>
      </c>
      <c r="CM30" s="20">
        <v>5.3374081690423791E-3</v>
      </c>
      <c r="CN30" s="20">
        <v>8.3761544660010401E-4</v>
      </c>
      <c r="CS30" s="1">
        <v>22</v>
      </c>
      <c r="CT30" s="15">
        <v>3.880090680811573E-2</v>
      </c>
      <c r="CU30" s="15">
        <v>0.61808464339092994</v>
      </c>
      <c r="CV30" s="15">
        <v>1.0501509722837048</v>
      </c>
      <c r="CW30" s="16">
        <v>0.7013281482882</v>
      </c>
      <c r="CX30" s="16">
        <v>1.112797529242318</v>
      </c>
      <c r="CY30" s="16">
        <v>9.7745213670303532E-2</v>
      </c>
      <c r="CZ30" s="17">
        <v>0.8896358262237849</v>
      </c>
      <c r="DA30" s="17">
        <v>8.1678501989388308E-2</v>
      </c>
      <c r="DB30" s="17">
        <v>1.3092001505898512</v>
      </c>
      <c r="DC30" s="18">
        <v>0.4974475231808993</v>
      </c>
      <c r="DD30" s="18">
        <v>0.91853881320774422</v>
      </c>
      <c r="DE30" s="18">
        <v>0.51160669796439695</v>
      </c>
      <c r="DF30" s="19">
        <v>3.5760560655273554E-4</v>
      </c>
      <c r="DG30" s="19">
        <v>2.2674208537243334E-4</v>
      </c>
      <c r="DH30" s="19">
        <v>1.2153160595063106E-3</v>
      </c>
      <c r="DI30" s="20">
        <v>1.6383852232078056E-3</v>
      </c>
      <c r="DJ30" s="20">
        <v>1.5211423197049045E-3</v>
      </c>
      <c r="DK30" s="20">
        <v>3.5427609856719666E-3</v>
      </c>
    </row>
    <row r="31" spans="6:115" ht="15.75" x14ac:dyDescent="0.25">
      <c r="F31" s="1">
        <v>23</v>
      </c>
      <c r="G31" s="15">
        <v>4.4658634625729367E-2</v>
      </c>
      <c r="H31" s="15">
        <v>0.10388100447836525</v>
      </c>
      <c r="I31" s="15">
        <v>5.5703737530992378E-2</v>
      </c>
      <c r="J31" s="16">
        <v>0.15714363942970042</v>
      </c>
      <c r="K31" s="16">
        <v>7.4705752124294325E-2</v>
      </c>
      <c r="L31" s="16">
        <v>0.73080577459295848</v>
      </c>
      <c r="M31" s="17">
        <v>0.91669632106396193</v>
      </c>
      <c r="N31" s="17">
        <v>0.60635777332832985</v>
      </c>
      <c r="O31" s="17">
        <v>0.80812390382311983</v>
      </c>
      <c r="P31" s="18">
        <v>0.3721552885477587</v>
      </c>
      <c r="Q31" s="18">
        <v>0.86567503731963591</v>
      </c>
      <c r="R31" s="18">
        <v>0.4284902886999794</v>
      </c>
      <c r="S31" s="19">
        <v>3.9282055640943447E-4</v>
      </c>
      <c r="T31" s="19">
        <v>9.1510345807377391E-4</v>
      </c>
      <c r="U31" s="19">
        <v>4.8435271395519392E-4</v>
      </c>
      <c r="V31" s="20">
        <v>3.2379755227129881E-4</v>
      </c>
      <c r="W31" s="20">
        <v>6.0936475837514159E-4</v>
      </c>
      <c r="X31" s="20">
        <v>3.029441554831314E-3</v>
      </c>
      <c r="AC31" s="1">
        <v>23</v>
      </c>
      <c r="AD31" s="15">
        <v>2.1327374645337752E-2</v>
      </c>
      <c r="AE31" s="15">
        <v>0.63997014075052416</v>
      </c>
      <c r="AF31" s="15">
        <v>1.3141347720872576</v>
      </c>
      <c r="AG31" s="16">
        <v>3.1392254634786394E-3</v>
      </c>
      <c r="AH31" s="16">
        <v>0.31588291741013169</v>
      </c>
      <c r="AI31" s="16">
        <v>0.70368627896330549</v>
      </c>
      <c r="AJ31" s="17">
        <v>1.1043521084856063</v>
      </c>
      <c r="AK31" s="17">
        <v>0.70572303453948548</v>
      </c>
      <c r="AL31" s="17">
        <v>0.80917714736381907</v>
      </c>
      <c r="AM31" s="18">
        <v>0.18385667797717967</v>
      </c>
      <c r="AN31" s="18">
        <v>0.3300924897817728</v>
      </c>
      <c r="AO31" s="18">
        <v>8.2602495072643028E-2</v>
      </c>
      <c r="AP31" s="19">
        <v>1.8857420979323525E-4</v>
      </c>
      <c r="AQ31" s="19">
        <v>1.1325204440976178E-3</v>
      </c>
      <c r="AR31" s="19">
        <v>1.8399377085202007E-3</v>
      </c>
      <c r="AS31" s="20">
        <v>4.6974468652205559E-5</v>
      </c>
      <c r="AT31" s="20">
        <v>3.0123184309744921E-3</v>
      </c>
      <c r="AU31" s="20">
        <v>2.3167217127052502E-3</v>
      </c>
      <c r="AZ31" s="1">
        <v>23</v>
      </c>
      <c r="BA31" s="15">
        <v>7.0945804144605079E-2</v>
      </c>
      <c r="BB31" s="15">
        <v>0.76160975677647458</v>
      </c>
      <c r="BC31" s="15">
        <v>1.1416036190210901</v>
      </c>
      <c r="BD31" s="16">
        <v>0.96546643019174405</v>
      </c>
      <c r="BE31" s="16">
        <v>1.5125249193097803</v>
      </c>
      <c r="BF31" s="16">
        <v>3.672520898883485E-2</v>
      </c>
      <c r="BG31" s="17">
        <v>0.53674082685729319</v>
      </c>
      <c r="BH31" s="17">
        <v>0.12048704530697385</v>
      </c>
      <c r="BI31" s="17">
        <v>1.2543829736115952</v>
      </c>
      <c r="BJ31" s="18">
        <v>0.75474259728297521</v>
      </c>
      <c r="BK31" s="18">
        <v>1.5643769776799008</v>
      </c>
      <c r="BL31" s="18">
        <v>0.85651951528287851</v>
      </c>
      <c r="BM31" s="19">
        <v>6.423132912203311E-4</v>
      </c>
      <c r="BN31" s="19">
        <v>7.4421384851264261E-4</v>
      </c>
      <c r="BO31" s="19">
        <v>1.9201373348941564E-3</v>
      </c>
      <c r="BP31" s="20">
        <v>2.2116598431971557E-3</v>
      </c>
      <c r="BQ31" s="20">
        <v>2.4315476670146992E-3</v>
      </c>
      <c r="BR31" s="20">
        <v>4.2272954832641707E-3</v>
      </c>
      <c r="BV31" s="1">
        <v>23</v>
      </c>
      <c r="BW31" s="15">
        <v>2.0300843177492887E-2</v>
      </c>
      <c r="BX31" s="15">
        <v>0.42220981937804636</v>
      </c>
      <c r="BY31" s="15">
        <v>0.73324742882932059</v>
      </c>
      <c r="BZ31" s="16">
        <v>0.51138400164895736</v>
      </c>
      <c r="CA31" s="16">
        <v>1.2370508369094828</v>
      </c>
      <c r="CB31" s="16">
        <v>0.98131032881025437</v>
      </c>
      <c r="CC31" s="17">
        <v>0.8860218011317762</v>
      </c>
      <c r="CD31" s="17">
        <v>0.87767292741995606</v>
      </c>
      <c r="CE31" s="17">
        <v>0.22822641581652722</v>
      </c>
      <c r="CF31" s="18">
        <v>0.25062769354931225</v>
      </c>
      <c r="CG31" s="18">
        <v>0.42514201288906728</v>
      </c>
      <c r="CH31" s="18">
        <v>0.26367114002506564</v>
      </c>
      <c r="CI31" s="19">
        <v>1.8652688227127623E-4</v>
      </c>
      <c r="CJ31" s="19">
        <v>2.4734858495856216E-6</v>
      </c>
      <c r="CK31" s="19">
        <v>9.7415397073197241E-4</v>
      </c>
      <c r="CL31" s="20">
        <v>1.4279114287938377E-3</v>
      </c>
      <c r="CM31" s="20">
        <v>5.3370274600087475E-3</v>
      </c>
      <c r="CN31" s="20">
        <v>9.5044464592464184E-4</v>
      </c>
      <c r="CS31" s="1">
        <v>23</v>
      </c>
      <c r="CT31" s="15">
        <v>3.6339927576409733E-2</v>
      </c>
      <c r="CU31" s="15">
        <v>0.61810869468827556</v>
      </c>
      <c r="CV31" s="15">
        <v>1.0466345854807446</v>
      </c>
      <c r="CW31" s="16">
        <v>0.7260891797327802</v>
      </c>
      <c r="CX31" s="16">
        <v>1.13393954261014</v>
      </c>
      <c r="CY31" s="16">
        <v>0.151083673874606</v>
      </c>
      <c r="CZ31" s="17">
        <v>0.86068345870029006</v>
      </c>
      <c r="DA31" s="17">
        <v>8.1985572981725249E-2</v>
      </c>
      <c r="DB31" s="17">
        <v>1.2633382012675938</v>
      </c>
      <c r="DC31" s="18">
        <v>0.46589650738995786</v>
      </c>
      <c r="DD31" s="18">
        <v>0.91885949717234083</v>
      </c>
      <c r="DE31" s="18">
        <v>0.55727405904169036</v>
      </c>
      <c r="DF31" s="19">
        <v>3.349324180563773E-4</v>
      </c>
      <c r="DG31" s="19">
        <v>2.2696599843330389E-4</v>
      </c>
      <c r="DH31" s="19">
        <v>1.2480724138171917E-3</v>
      </c>
      <c r="DI31" s="20">
        <v>1.7057710914679669E-3</v>
      </c>
      <c r="DJ31" s="20">
        <v>1.5861049172539721E-3</v>
      </c>
      <c r="DK31" s="20">
        <v>3.3317836842433612E-3</v>
      </c>
    </row>
    <row r="32" spans="6:115" ht="15.75" x14ac:dyDescent="0.25">
      <c r="F32" s="1">
        <v>24</v>
      </c>
      <c r="G32" s="15">
        <v>3.5480697092669287E-2</v>
      </c>
      <c r="H32" s="15">
        <v>0.10176776409518302</v>
      </c>
      <c r="I32" s="15">
        <v>7.2360718895132778E-2</v>
      </c>
      <c r="J32" s="16">
        <v>0.20634166092747511</v>
      </c>
      <c r="K32" s="16">
        <v>6.0214104180778223E-2</v>
      </c>
      <c r="L32" s="16">
        <v>0.81725089012851437</v>
      </c>
      <c r="M32" s="17">
        <v>0.89573378514487445</v>
      </c>
      <c r="N32" s="17">
        <v>0.65790589429360435</v>
      </c>
      <c r="O32" s="17">
        <v>0.87528298184157161</v>
      </c>
      <c r="P32" s="18">
        <v>0.29567247577221634</v>
      </c>
      <c r="Q32" s="18">
        <v>0.84806470079324714</v>
      </c>
      <c r="R32" s="18">
        <v>0.55662091457795704</v>
      </c>
      <c r="S32" s="19">
        <v>3.1211939227937524E-4</v>
      </c>
      <c r="T32" s="19">
        <v>8.9646864012837835E-4</v>
      </c>
      <c r="U32" s="19">
        <v>6.2908304537356852E-4</v>
      </c>
      <c r="V32" s="20">
        <v>4.9187112787629772E-4</v>
      </c>
      <c r="W32" s="20">
        <v>5.527131933472651E-4</v>
      </c>
      <c r="X32" s="20">
        <v>3.4276145844575057E-3</v>
      </c>
      <c r="AC32" s="1">
        <v>24</v>
      </c>
      <c r="AD32" s="15">
        <v>1.0143293482231912E-2</v>
      </c>
      <c r="AE32" s="15">
        <v>0.63536827312178679</v>
      </c>
      <c r="AF32" s="15">
        <v>1.3285488773425087</v>
      </c>
      <c r="AG32" s="16">
        <v>1.0259175333203537E-3</v>
      </c>
      <c r="AH32" s="16">
        <v>0.33958665430420065</v>
      </c>
      <c r="AI32" s="16">
        <v>0.64833497064705148</v>
      </c>
      <c r="AJ32" s="17">
        <v>1.2115882766792838</v>
      </c>
      <c r="AK32" s="17">
        <v>0.69748076438500539</v>
      </c>
      <c r="AL32" s="17">
        <v>0.90791555361462406</v>
      </c>
      <c r="AM32" s="18">
        <v>8.7442185191849403E-2</v>
      </c>
      <c r="AN32" s="18">
        <v>0.36976376244327208</v>
      </c>
      <c r="AO32" s="18">
        <v>2.8275237660133925E-2</v>
      </c>
      <c r="AP32" s="19">
        <v>8.9675810463818451E-5</v>
      </c>
      <c r="AQ32" s="19">
        <v>1.1734086273880173E-3</v>
      </c>
      <c r="AR32" s="19">
        <v>1.7131153057492465E-3</v>
      </c>
      <c r="AS32" s="20">
        <v>2.884338786746099E-5</v>
      </c>
      <c r="AT32" s="20">
        <v>3.0723071314913142E-3</v>
      </c>
      <c r="AU32" s="20">
        <v>2.5811948300500376E-3</v>
      </c>
      <c r="AZ32" s="1">
        <v>24</v>
      </c>
      <c r="BA32" s="15">
        <v>7.3730316683206634E-2</v>
      </c>
      <c r="BB32" s="15">
        <v>0.7596003405375269</v>
      </c>
      <c r="BC32" s="15">
        <v>1.144714078469242</v>
      </c>
      <c r="BD32" s="16">
        <v>0.9457690254128116</v>
      </c>
      <c r="BE32" s="16">
        <v>1.5915960440204546</v>
      </c>
      <c r="BF32" s="16">
        <v>3.3994625948992413E-2</v>
      </c>
      <c r="BG32" s="17">
        <v>0.56905570490868485</v>
      </c>
      <c r="BH32" s="17">
        <v>9.1226288962512628E-2</v>
      </c>
      <c r="BI32" s="17">
        <v>1.3517519376262863</v>
      </c>
      <c r="BJ32" s="18">
        <v>0.78436507109771003</v>
      </c>
      <c r="BK32" s="18">
        <v>1.5425354968218941</v>
      </c>
      <c r="BL32" s="18">
        <v>0.82377783688123563</v>
      </c>
      <c r="BM32" s="19">
        <v>6.6750451595620763E-4</v>
      </c>
      <c r="BN32" s="19">
        <v>7.2581362656054527E-4</v>
      </c>
      <c r="BO32" s="19">
        <v>1.8917221291205879E-3</v>
      </c>
      <c r="BP32" s="20">
        <v>2.1559879856348774E-3</v>
      </c>
      <c r="BQ32" s="20">
        <v>2.6943280788506163E-3</v>
      </c>
      <c r="BR32" s="20">
        <v>4.2496745524995818E-3</v>
      </c>
      <c r="BV32" s="1">
        <v>24</v>
      </c>
      <c r="BW32" s="15">
        <v>2.0033841201512175E-2</v>
      </c>
      <c r="BX32" s="15">
        <v>0.42233706008054045</v>
      </c>
      <c r="BY32" s="15">
        <v>0.73308299610015693</v>
      </c>
      <c r="BZ32" s="16">
        <v>0.50293806663646357</v>
      </c>
      <c r="CA32" s="16">
        <v>1.2385590851878663</v>
      </c>
      <c r="CB32" s="16">
        <v>0.98414459767311757</v>
      </c>
      <c r="CC32" s="17">
        <v>0.87771718261614828</v>
      </c>
      <c r="CD32" s="17">
        <v>0.88284795225010215</v>
      </c>
      <c r="CE32" s="17">
        <v>0.2285130995125125</v>
      </c>
      <c r="CF32" s="18">
        <v>0.24733137285812354</v>
      </c>
      <c r="CG32" s="18">
        <v>0.42665678315703048</v>
      </c>
      <c r="CH32" s="18">
        <v>0.26536632279989314</v>
      </c>
      <c r="CI32" s="19">
        <v>1.8407412352428043E-4</v>
      </c>
      <c r="CJ32" s="19">
        <v>3.6439571658997139E-6</v>
      </c>
      <c r="CK32" s="19">
        <v>9.756481500227121E-4</v>
      </c>
      <c r="CL32" s="20">
        <v>1.4045167507429346E-3</v>
      </c>
      <c r="CM32" s="20">
        <v>5.3422825500867299E-3</v>
      </c>
      <c r="CN32" s="20">
        <v>9.619442222761343E-4</v>
      </c>
      <c r="CS32" s="1">
        <v>24</v>
      </c>
      <c r="CT32" s="15">
        <v>3.7588156084840882E-2</v>
      </c>
      <c r="CU32" s="15">
        <v>0.62012046047433367</v>
      </c>
      <c r="CV32" s="15">
        <v>1.0531316892137674</v>
      </c>
      <c r="CW32" s="16">
        <v>0.71570762109963137</v>
      </c>
      <c r="CX32" s="16">
        <v>1.0998129045640814</v>
      </c>
      <c r="CY32" s="16">
        <v>0.10951378309588353</v>
      </c>
      <c r="CZ32" s="17">
        <v>0.8974366293874122</v>
      </c>
      <c r="DA32" s="17">
        <v>8.5893185340838812E-2</v>
      </c>
      <c r="DB32" s="17">
        <v>1.3308893030126638</v>
      </c>
      <c r="DC32" s="18">
        <v>0.48189943698506776</v>
      </c>
      <c r="DD32" s="18">
        <v>0.94568304098653699</v>
      </c>
      <c r="DE32" s="18">
        <v>0.47289608848308229</v>
      </c>
      <c r="DF32" s="19">
        <v>3.4643258148281397E-4</v>
      </c>
      <c r="DG32" s="19">
        <v>2.4569554372122493E-4</v>
      </c>
      <c r="DH32" s="19">
        <v>1.1875478313632115E-3</v>
      </c>
      <c r="DI32" s="20">
        <v>1.6769785530462711E-3</v>
      </c>
      <c r="DJ32" s="20">
        <v>1.4749686917157057E-3</v>
      </c>
      <c r="DK32" s="20">
        <v>3.5102798596152729E-3</v>
      </c>
    </row>
    <row r="33" spans="6:115" ht="15.75" x14ac:dyDescent="0.25">
      <c r="F33" s="1">
        <v>25</v>
      </c>
      <c r="G33" s="15">
        <v>5.5924188643060917E-2</v>
      </c>
      <c r="H33" s="15">
        <v>0.10180854676560555</v>
      </c>
      <c r="I33" s="15">
        <v>4.459550484927649E-2</v>
      </c>
      <c r="J33" s="16">
        <v>0.12295789197849327</v>
      </c>
      <c r="K33" s="16">
        <v>9.0637507746046092E-2</v>
      </c>
      <c r="L33" s="16">
        <v>0.67876427422774799</v>
      </c>
      <c r="M33" s="17">
        <v>0.97239023007700442</v>
      </c>
      <c r="N33" s="17">
        <v>0.58646375358594438</v>
      </c>
      <c r="O33" s="17">
        <v>0.84124677912539603</v>
      </c>
      <c r="P33" s="18">
        <v>0.46603490535882713</v>
      </c>
      <c r="Q33" s="18">
        <v>0.84840455637999035</v>
      </c>
      <c r="R33" s="18">
        <v>0.34304234499440917</v>
      </c>
      <c r="S33" s="19">
        <v>4.9185779257909779E-4</v>
      </c>
      <c r="T33" s="19">
        <v>8.9682825935510902E-4</v>
      </c>
      <c r="U33" s="19">
        <v>3.8780794727677481E-4</v>
      </c>
      <c r="V33" s="20">
        <v>1.929439709084102E-4</v>
      </c>
      <c r="W33" s="20">
        <v>6.5662280268097284E-4</v>
      </c>
      <c r="X33" s="20">
        <v>2.7857069440057058E-3</v>
      </c>
      <c r="AC33" s="1">
        <v>25</v>
      </c>
      <c r="AD33" s="15">
        <v>1.6711621341638422E-2</v>
      </c>
      <c r="AE33" s="15">
        <v>0.6384840864027137</v>
      </c>
      <c r="AF33" s="15">
        <v>1.3202528342630111</v>
      </c>
      <c r="AG33" s="16">
        <v>3.3066872372995777E-2</v>
      </c>
      <c r="AH33" s="16">
        <v>0.29514656740946488</v>
      </c>
      <c r="AI33" s="16">
        <v>0.71578206064743621</v>
      </c>
      <c r="AJ33" s="17">
        <v>1.1578948918331664</v>
      </c>
      <c r="AK33" s="17">
        <v>0.69673146904117422</v>
      </c>
      <c r="AL33" s="17">
        <v>0.84923989600330785</v>
      </c>
      <c r="AM33" s="18">
        <v>0.14406570122110759</v>
      </c>
      <c r="AN33" s="18">
        <v>0.34290330312489309</v>
      </c>
      <c r="AO33" s="18">
        <v>3.5540478335946306E-2</v>
      </c>
      <c r="AP33" s="19">
        <v>1.4775542498746128E-4</v>
      </c>
      <c r="AQ33" s="19">
        <v>1.145724641361201E-3</v>
      </c>
      <c r="AR33" s="19">
        <v>1.7861125073805881E-3</v>
      </c>
      <c r="AS33" s="20">
        <v>4.2238212393130858E-5</v>
      </c>
      <c r="AT33" s="20">
        <v>2.9423171066584874E-3</v>
      </c>
      <c r="AU33" s="20">
        <v>2.2942285574977239E-3</v>
      </c>
      <c r="AZ33" s="1">
        <v>25</v>
      </c>
      <c r="BA33" s="15">
        <v>3.784436820604694E-2</v>
      </c>
      <c r="BB33" s="15">
        <v>0.76293408564732756</v>
      </c>
      <c r="BC33" s="15">
        <v>1.0967371247119015</v>
      </c>
      <c r="BD33" s="16">
        <v>1.0682962945369967</v>
      </c>
      <c r="BE33" s="16">
        <v>1.6055657488086721</v>
      </c>
      <c r="BF33" s="16">
        <v>0.29278920781749151</v>
      </c>
      <c r="BG33" s="17">
        <v>0.32861107177217502</v>
      </c>
      <c r="BH33" s="17">
        <v>1.2130339989608857E-2</v>
      </c>
      <c r="BI33" s="17">
        <v>1.2507051299474428</v>
      </c>
      <c r="BJ33" s="18">
        <v>0.40259966176641337</v>
      </c>
      <c r="BK33" s="18">
        <v>1.5787718567107927</v>
      </c>
      <c r="BL33" s="18">
        <v>1.3287984027479911</v>
      </c>
      <c r="BM33" s="19">
        <v>3.4274026805758417E-4</v>
      </c>
      <c r="BN33" s="19">
        <v>7.5634113369116296E-4</v>
      </c>
      <c r="BO33" s="19">
        <v>2.3298106494145103E-3</v>
      </c>
      <c r="BP33" s="20">
        <v>2.5487742267360503E-3</v>
      </c>
      <c r="BQ33" s="20">
        <v>2.728901348572621E-3</v>
      </c>
      <c r="BR33" s="20">
        <v>3.0783393301807567E-3</v>
      </c>
      <c r="BV33" s="1">
        <v>25</v>
      </c>
      <c r="BW33" s="15">
        <v>5.1538249337390617E-2</v>
      </c>
      <c r="BX33" s="15">
        <v>0.41880731861624365</v>
      </c>
      <c r="BY33" s="15">
        <v>0.7631609080930668</v>
      </c>
      <c r="BZ33" s="16">
        <v>0.74462941768640156</v>
      </c>
      <c r="CA33" s="16">
        <v>1.2859400897625279</v>
      </c>
      <c r="CB33" s="16">
        <v>0.64061433285312708</v>
      </c>
      <c r="CC33" s="17">
        <v>1.1339157511541031</v>
      </c>
      <c r="CD33" s="17">
        <v>0.65708301789778578</v>
      </c>
      <c r="CE33" s="17">
        <v>0.13255535101768601</v>
      </c>
      <c r="CF33" s="18">
        <v>0.63627468317762792</v>
      </c>
      <c r="CG33" s="18">
        <v>0.38463605143927804</v>
      </c>
      <c r="CH33" s="18">
        <v>4.4715244137336969E-2</v>
      </c>
      <c r="CI33" s="19">
        <v>4.7339253318656738E-4</v>
      </c>
      <c r="CJ33" s="19">
        <v>2.8824583895636913E-5</v>
      </c>
      <c r="CK33" s="19">
        <v>7.022516037533677E-4</v>
      </c>
      <c r="CL33" s="20">
        <v>2.1374827894778958E-3</v>
      </c>
      <c r="CM33" s="20">
        <v>5.4827982097049865E-3</v>
      </c>
      <c r="CN33" s="20">
        <v>4.6896568610577116E-4</v>
      </c>
      <c r="CS33" s="1">
        <v>25</v>
      </c>
      <c r="CT33" s="15">
        <v>2.8738550022587322E-2</v>
      </c>
      <c r="CU33" s="15">
        <v>0.61965565766898811</v>
      </c>
      <c r="CV33" s="15">
        <v>1.0426635441725789</v>
      </c>
      <c r="CW33" s="16">
        <v>0.72563749641056285</v>
      </c>
      <c r="CX33" s="16">
        <v>1.1552396001319889</v>
      </c>
      <c r="CY33" s="16">
        <v>0.17322828199839951</v>
      </c>
      <c r="CZ33" s="17">
        <v>0.92869815036682457</v>
      </c>
      <c r="DA33" s="17">
        <v>9.7798674279122838E-2</v>
      </c>
      <c r="DB33" s="17">
        <v>1.3735988810296822</v>
      </c>
      <c r="DC33" s="18">
        <v>0.36844294900747598</v>
      </c>
      <c r="DD33" s="18">
        <v>0.93948567024860741</v>
      </c>
      <c r="DE33" s="18">
        <v>0.6088460240828617</v>
      </c>
      <c r="DF33" s="19">
        <v>2.6489330471346495E-4</v>
      </c>
      <c r="DG33" s="19">
        <v>2.4136816089947999E-4</v>
      </c>
      <c r="DH33" s="19">
        <v>1.2850612325487898E-3</v>
      </c>
      <c r="DI33" s="20">
        <v>1.723590333044478E-3</v>
      </c>
      <c r="DJ33" s="20">
        <v>1.646896345008253E-3</v>
      </c>
      <c r="DK33" s="20">
        <v>3.2347749525220015E-3</v>
      </c>
    </row>
    <row r="34" spans="6:115" ht="15.75" x14ac:dyDescent="0.25">
      <c r="F34" s="1">
        <v>26</v>
      </c>
      <c r="G34" s="15">
        <v>8.3237344379019002E-2</v>
      </c>
      <c r="H34" s="15">
        <v>9.8611494820799422E-2</v>
      </c>
      <c r="I34" s="15">
        <v>8.6871156408465135E-3</v>
      </c>
      <c r="J34" s="16">
        <v>0.10391768171888062</v>
      </c>
      <c r="K34" s="16">
        <v>0.15672449515742559</v>
      </c>
      <c r="L34" s="16">
        <v>0.53725070158479504</v>
      </c>
      <c r="M34" s="17">
        <v>1.1458329127906439</v>
      </c>
      <c r="N34" s="17">
        <v>0.51685067611628033</v>
      </c>
      <c r="O34" s="17">
        <v>0.91279285006900646</v>
      </c>
      <c r="P34" s="18">
        <v>0.69364453649179736</v>
      </c>
      <c r="Q34" s="18">
        <v>0.82176245684003191</v>
      </c>
      <c r="R34" s="18">
        <v>6.6823966468100821E-2</v>
      </c>
      <c r="S34" s="19">
        <v>7.3187943353081319E-4</v>
      </c>
      <c r="T34" s="19">
        <v>8.6863773107415121E-4</v>
      </c>
      <c r="U34" s="19">
        <v>7.5571341105584708E-5</v>
      </c>
      <c r="V34" s="20">
        <v>5.9509344717878498E-5</v>
      </c>
      <c r="W34" s="20">
        <v>8.7106390497782016E-4</v>
      </c>
      <c r="X34" s="20">
        <v>2.1014868708528756E-3</v>
      </c>
      <c r="AC34" s="1">
        <v>26</v>
      </c>
      <c r="AD34" s="15">
        <v>1.4022969891145294E-2</v>
      </c>
      <c r="AE34" s="15">
        <v>0.63650978168801464</v>
      </c>
      <c r="AF34" s="15">
        <v>1.3199935347911267</v>
      </c>
      <c r="AG34" s="16">
        <v>2.3923898726972037E-2</v>
      </c>
      <c r="AH34" s="16">
        <v>0.34554905932730356</v>
      </c>
      <c r="AI34" s="16">
        <v>0.66612989645846066</v>
      </c>
      <c r="AJ34" s="17">
        <v>1.1475510245766902</v>
      </c>
      <c r="AK34" s="17">
        <v>0.70123111981171216</v>
      </c>
      <c r="AL34" s="17">
        <v>0.84598784154164053</v>
      </c>
      <c r="AM34" s="18">
        <v>0.12088767147556384</v>
      </c>
      <c r="AN34" s="18">
        <v>0.35992317135501511</v>
      </c>
      <c r="AO34" s="18">
        <v>3.7535089658266622E-2</v>
      </c>
      <c r="AP34" s="19">
        <v>1.2398043957773108E-4</v>
      </c>
      <c r="AQ34" s="19">
        <v>1.1632665307855781E-3</v>
      </c>
      <c r="AR34" s="19">
        <v>1.788393895582385E-3</v>
      </c>
      <c r="AS34" s="20">
        <v>9.7998727212167402E-5</v>
      </c>
      <c r="AT34" s="20">
        <v>3.0947033547201737E-3</v>
      </c>
      <c r="AU34" s="20">
        <v>2.4812329224346281E-3</v>
      </c>
      <c r="AZ34" s="1">
        <v>26</v>
      </c>
      <c r="BA34" s="15">
        <v>7.366239010029707E-2</v>
      </c>
      <c r="BB34" s="15">
        <v>0.75894218070524</v>
      </c>
      <c r="BC34" s="15">
        <v>1.14204797020215</v>
      </c>
      <c r="BD34" s="16">
        <v>0.90875076616681172</v>
      </c>
      <c r="BE34" s="16">
        <v>1.6473004907378088</v>
      </c>
      <c r="BF34" s="16">
        <v>0.13411552936861959</v>
      </c>
      <c r="BG34" s="17">
        <v>0.52800911755757263</v>
      </c>
      <c r="BH34" s="17">
        <v>9.1661850586594568E-2</v>
      </c>
      <c r="BI34" s="17">
        <v>1.2911931383319724</v>
      </c>
      <c r="BJ34" s="18">
        <v>0.78364244787526793</v>
      </c>
      <c r="BK34" s="18">
        <v>1.5353815856013837</v>
      </c>
      <c r="BL34" s="18">
        <v>0.85184213442957224</v>
      </c>
      <c r="BM34" s="19">
        <v>6.6689000718989089E-4</v>
      </c>
      <c r="BN34" s="19">
        <v>7.1978701980890403E-4</v>
      </c>
      <c r="BO34" s="19">
        <v>1.9160781308005248E-3</v>
      </c>
      <c r="BP34" s="20">
        <v>2.0645935103870139E-3</v>
      </c>
      <c r="BQ34" s="20">
        <v>2.877045852059501E-3</v>
      </c>
      <c r="BR34" s="20">
        <v>3.8579314200314352E-3</v>
      </c>
      <c r="BV34" s="1">
        <v>26</v>
      </c>
      <c r="BW34" s="15">
        <v>2.8371312011545316E-2</v>
      </c>
      <c r="BX34" s="15">
        <v>0.42485838613117538</v>
      </c>
      <c r="BY34" s="15">
        <v>0.74268630424538928</v>
      </c>
      <c r="BZ34" s="16">
        <v>0.60288235215683206</v>
      </c>
      <c r="CA34" s="16">
        <v>1.2299782200799414</v>
      </c>
      <c r="CB34" s="16">
        <v>0.83499416453374187</v>
      </c>
      <c r="CC34" s="17">
        <v>0.84834122473629181</v>
      </c>
      <c r="CD34" s="17">
        <v>0.83526549106758863</v>
      </c>
      <c r="CE34" s="17">
        <v>0.13968188360082176</v>
      </c>
      <c r="CF34" s="18">
        <v>0.35026311125356008</v>
      </c>
      <c r="CG34" s="18">
        <v>0.45667256947420154</v>
      </c>
      <c r="CH34" s="18">
        <v>0.16636314604506061</v>
      </c>
      <c r="CI34" s="19">
        <v>2.6065840517663919E-4</v>
      </c>
      <c r="CJ34" s="19">
        <v>2.683793723512462E-5</v>
      </c>
      <c r="CK34" s="19">
        <v>8.8837581226963724E-4</v>
      </c>
      <c r="CL34" s="20">
        <v>1.695161251014321E-3</v>
      </c>
      <c r="CM34" s="20">
        <v>5.3229718224756528E-3</v>
      </c>
      <c r="CN34" s="20">
        <v>3.5348374604637911E-4</v>
      </c>
      <c r="CS34" s="1">
        <v>26</v>
      </c>
      <c r="CT34" s="15">
        <v>4.0942743994331544E-2</v>
      </c>
      <c r="CU34" s="15">
        <v>0.61748269965569691</v>
      </c>
      <c r="CV34" s="15">
        <v>1.0520639867036128</v>
      </c>
      <c r="CW34" s="16">
        <v>0.69743599685195468</v>
      </c>
      <c r="CX34" s="16">
        <v>1.1083915058940632</v>
      </c>
      <c r="CY34" s="16">
        <v>7.5636934165809105E-2</v>
      </c>
      <c r="CZ34" s="17">
        <v>0.88209782808653103</v>
      </c>
      <c r="DA34" s="17">
        <v>8.8459609075220838E-2</v>
      </c>
      <c r="DB34" s="17">
        <v>1.3154345257044433</v>
      </c>
      <c r="DC34" s="18">
        <v>0.52490697428639133</v>
      </c>
      <c r="DD34" s="18">
        <v>0.91051289673784674</v>
      </c>
      <c r="DE34" s="18">
        <v>0.48676235484867159</v>
      </c>
      <c r="DF34" s="19">
        <v>3.773376072572221E-4</v>
      </c>
      <c r="DG34" s="19">
        <v>2.2113813755342271E-4</v>
      </c>
      <c r="DH34" s="19">
        <v>1.1974946934073527E-3</v>
      </c>
      <c r="DI34" s="20">
        <v>1.6234233782114194E-3</v>
      </c>
      <c r="DJ34" s="20">
        <v>1.5094314660170083E-3</v>
      </c>
      <c r="DK34" s="20">
        <v>3.6318953919467489E-3</v>
      </c>
    </row>
    <row r="35" spans="6:115" ht="15.75" x14ac:dyDescent="0.25">
      <c r="F35" s="1">
        <v>27</v>
      </c>
      <c r="G35" s="15">
        <v>3.8465008090449074E-2</v>
      </c>
      <c r="H35" s="15">
        <v>0.10451509015986327</v>
      </c>
      <c r="I35" s="15">
        <v>6.6811519401872826E-2</v>
      </c>
      <c r="J35" s="16">
        <v>0.16651970605838712</v>
      </c>
      <c r="K35" s="16">
        <v>6.9865713984417571E-2</v>
      </c>
      <c r="L35" s="16">
        <v>0.76411757499748345</v>
      </c>
      <c r="M35" s="17">
        <v>0.84988283534332831</v>
      </c>
      <c r="N35" s="17">
        <v>0.64158509424631138</v>
      </c>
      <c r="O35" s="17">
        <v>0.80553412610055231</v>
      </c>
      <c r="P35" s="18">
        <v>0.32054173408711734</v>
      </c>
      <c r="Q35" s="18">
        <v>0.87095908466543415</v>
      </c>
      <c r="R35" s="18">
        <v>0.51393476462982901</v>
      </c>
      <c r="S35" s="19">
        <v>3.3836192025593625E-4</v>
      </c>
      <c r="T35" s="19">
        <v>9.2069505867742318E-4</v>
      </c>
      <c r="U35" s="19">
        <v>5.8087212930091347E-4</v>
      </c>
      <c r="V35" s="20">
        <v>3.6863672035125639E-4</v>
      </c>
      <c r="W35" s="20">
        <v>5.9502223644558594E-4</v>
      </c>
      <c r="X35" s="20">
        <v>3.200830848968828E-3</v>
      </c>
      <c r="AC35" s="1">
        <v>27</v>
      </c>
      <c r="AD35" s="15">
        <v>2.5132254305478188E-2</v>
      </c>
      <c r="AE35" s="15">
        <v>0.63991378183576331</v>
      </c>
      <c r="AF35" s="15">
        <v>1.3148825127184369</v>
      </c>
      <c r="AG35" s="16">
        <v>2.6837822576946512E-2</v>
      </c>
      <c r="AH35" s="16">
        <v>0.30534578680086866</v>
      </c>
      <c r="AI35" s="16">
        <v>0.68063152460604948</v>
      </c>
      <c r="AJ35" s="17">
        <v>1.1050543615833375</v>
      </c>
      <c r="AK35" s="17">
        <v>0.72404228643087654</v>
      </c>
      <c r="AL35" s="17">
        <v>0.8353221646283373</v>
      </c>
      <c r="AM35" s="18">
        <v>0.21665736470263655</v>
      </c>
      <c r="AN35" s="18">
        <v>0.33057834249521351</v>
      </c>
      <c r="AO35" s="18">
        <v>7.6850644063439791E-2</v>
      </c>
      <c r="AP35" s="19">
        <v>2.2222497820734152E-4</v>
      </c>
      <c r="AQ35" s="19">
        <v>1.1330212231822621E-3</v>
      </c>
      <c r="AR35" s="19">
        <v>1.8333596289731302E-3</v>
      </c>
      <c r="AS35" s="20">
        <v>4.405103596671899E-6</v>
      </c>
      <c r="AT35" s="20">
        <v>2.9789683028886849E-3</v>
      </c>
      <c r="AU35" s="20">
        <v>2.406859750293755E-3</v>
      </c>
      <c r="AZ35" s="1">
        <v>27</v>
      </c>
      <c r="BA35" s="15">
        <v>6.40447425779226E-2</v>
      </c>
      <c r="BB35" s="15">
        <v>0.75764720428187837</v>
      </c>
      <c r="BC35" s="15">
        <v>1.1233981027745426</v>
      </c>
      <c r="BD35" s="16">
        <v>0.98415013205906143</v>
      </c>
      <c r="BE35" s="16">
        <v>1.5723228450407738</v>
      </c>
      <c r="BF35" s="16">
        <v>6.9262874482207484E-2</v>
      </c>
      <c r="BG35" s="17">
        <v>0.40632503265952535</v>
      </c>
      <c r="BH35" s="17">
        <v>1.0035835993674002E-2</v>
      </c>
      <c r="BI35" s="17">
        <v>1.3687012925486983</v>
      </c>
      <c r="BJ35" s="18">
        <v>0.68132704870105676</v>
      </c>
      <c r="BK35" s="18">
        <v>1.5213057549126308</v>
      </c>
      <c r="BL35" s="18">
        <v>1.0481565284044445</v>
      </c>
      <c r="BM35" s="19">
        <v>5.7987398895231735E-4</v>
      </c>
      <c r="BN35" s="19">
        <v>7.0792947445164067E-4</v>
      </c>
      <c r="BO35" s="19">
        <v>2.0864156534873279E-3</v>
      </c>
      <c r="BP35" s="20">
        <v>2.2751055245742173E-3</v>
      </c>
      <c r="BQ35" s="20">
        <v>2.6381269547425257E-3</v>
      </c>
      <c r="BR35" s="20">
        <v>4.0332522859346511E-3</v>
      </c>
      <c r="BV35" s="1">
        <v>27</v>
      </c>
      <c r="BW35" s="15">
        <v>2.0530340054723723E-2</v>
      </c>
      <c r="BX35" s="15">
        <v>0.42279693825329728</v>
      </c>
      <c r="BY35" s="15">
        <v>0.73535066575540231</v>
      </c>
      <c r="BZ35" s="16">
        <v>0.50675265517226942</v>
      </c>
      <c r="CA35" s="16">
        <v>1.2487117916789936</v>
      </c>
      <c r="CB35" s="16">
        <v>0.96904920844694076</v>
      </c>
      <c r="CC35" s="17">
        <v>0.88948323574796362</v>
      </c>
      <c r="CD35" s="17">
        <v>0.87495615230055623</v>
      </c>
      <c r="CE35" s="17">
        <v>0.22748962925332131</v>
      </c>
      <c r="CF35" s="18">
        <v>0.25346098833000863</v>
      </c>
      <c r="CG35" s="18">
        <v>0.43213152330889804</v>
      </c>
      <c r="CH35" s="18">
        <v>0.24198828511703546</v>
      </c>
      <c r="CI35" s="19">
        <v>1.8863509767585995E-4</v>
      </c>
      <c r="CJ35" s="19">
        <v>7.8743439317907615E-6</v>
      </c>
      <c r="CK35" s="19">
        <v>9.5504168775539799E-4</v>
      </c>
      <c r="CL35" s="20">
        <v>1.4160871022771415E-3</v>
      </c>
      <c r="CM35" s="20">
        <v>5.3763625190729192E-3</v>
      </c>
      <c r="CN35" s="20">
        <v>8.9537470387324181E-4</v>
      </c>
      <c r="CS35" s="1">
        <v>27</v>
      </c>
      <c r="CT35" s="15">
        <v>4.0286715193991428E-2</v>
      </c>
      <c r="CU35" s="15">
        <v>0.61752182842204284</v>
      </c>
      <c r="CV35" s="15">
        <v>1.0527775310769274</v>
      </c>
      <c r="CW35" s="16">
        <v>0.70585489684630953</v>
      </c>
      <c r="CX35" s="16">
        <v>1.1176306965063596</v>
      </c>
      <c r="CY35" s="16">
        <v>8.5298051250882426E-2</v>
      </c>
      <c r="CZ35" s="17">
        <v>0.9130112066796382</v>
      </c>
      <c r="DA35" s="17">
        <v>8.2768710990564695E-2</v>
      </c>
      <c r="DB35" s="17">
        <v>1.3354177504544706</v>
      </c>
      <c r="DC35" s="18">
        <v>0.51649634864089777</v>
      </c>
      <c r="DD35" s="18">
        <v>0.91103461362242055</v>
      </c>
      <c r="DE35" s="18">
        <v>0.47749554480555162</v>
      </c>
      <c r="DF35" s="19">
        <v>3.7129393195978189E-4</v>
      </c>
      <c r="DG35" s="19">
        <v>2.2150241466145637E-4</v>
      </c>
      <c r="DH35" s="19">
        <v>1.1908472406081394E-3</v>
      </c>
      <c r="DI35" s="20">
        <v>1.645883581221419E-3</v>
      </c>
      <c r="DJ35" s="20">
        <v>1.5377322868985743E-3</v>
      </c>
      <c r="DK35" s="20">
        <v>3.5987471301835994E-3</v>
      </c>
    </row>
    <row r="36" spans="6:115" ht="15.75" x14ac:dyDescent="0.25">
      <c r="F36" s="1">
        <v>28</v>
      </c>
      <c r="G36" s="15">
        <v>4.8156732834830719E-2</v>
      </c>
      <c r="H36" s="15">
        <v>0.10067494309757925</v>
      </c>
      <c r="I36" s="15">
        <v>5.2874115704567431E-2</v>
      </c>
      <c r="J36" s="16">
        <v>0.16547898551404236</v>
      </c>
      <c r="K36" s="16">
        <v>7.595971105523891E-2</v>
      </c>
      <c r="L36" s="16">
        <v>0.72828945680911217</v>
      </c>
      <c r="M36" s="17">
        <v>0.98116355417196799</v>
      </c>
      <c r="N36" s="17">
        <v>0.61296866157525365</v>
      </c>
      <c r="O36" s="17">
        <v>0.88841850971016145</v>
      </c>
      <c r="P36" s="18">
        <v>0.40130610695686714</v>
      </c>
      <c r="Q36" s="18">
        <v>0.83895785914645626</v>
      </c>
      <c r="R36" s="18">
        <v>0.40672396695826168</v>
      </c>
      <c r="S36" s="19">
        <v>4.2357526893588299E-4</v>
      </c>
      <c r="T36" s="19">
        <v>8.8683231718933442E-4</v>
      </c>
      <c r="U36" s="19">
        <v>4.5976171169037622E-4</v>
      </c>
      <c r="V36" s="20">
        <v>3.3770950848410752E-4</v>
      </c>
      <c r="W36" s="20">
        <v>6.0268692726117578E-4</v>
      </c>
      <c r="X36" s="20">
        <v>3.008861865167467E-3</v>
      </c>
      <c r="AC36" s="1">
        <v>28</v>
      </c>
      <c r="AD36" s="15">
        <v>2.2717923768573022E-2</v>
      </c>
      <c r="AE36" s="15">
        <v>0.64078527990717149</v>
      </c>
      <c r="AF36" s="15">
        <v>1.3159903583143739</v>
      </c>
      <c r="AG36" s="16">
        <v>1.8387705079784506E-2</v>
      </c>
      <c r="AH36" s="16">
        <v>0.32165083967295233</v>
      </c>
      <c r="AI36" s="16">
        <v>0.6606092830164989</v>
      </c>
      <c r="AJ36" s="17">
        <v>1.0662632756182284</v>
      </c>
      <c r="AK36" s="17">
        <v>0.70653015511707651</v>
      </c>
      <c r="AL36" s="17">
        <v>0.76059971774872648</v>
      </c>
      <c r="AM36" s="18">
        <v>0.19584417041888469</v>
      </c>
      <c r="AN36" s="18">
        <v>0.32306542808653665</v>
      </c>
      <c r="AO36" s="18">
        <v>6.8328754864018904E-2</v>
      </c>
      <c r="AP36" s="19">
        <v>2.0087208008046087E-4</v>
      </c>
      <c r="AQ36" s="19">
        <v>1.1252774334241655E-3</v>
      </c>
      <c r="AR36" s="19">
        <v>1.8236134239641988E-3</v>
      </c>
      <c r="AS36" s="20">
        <v>1.1183744443532539E-5</v>
      </c>
      <c r="AT36" s="20">
        <v>3.0330664304368815E-3</v>
      </c>
      <c r="AU36" s="20">
        <v>2.4868764832051138E-3</v>
      </c>
      <c r="AZ36" s="1">
        <v>28</v>
      </c>
      <c r="BA36" s="15">
        <v>5.7709961239156546E-2</v>
      </c>
      <c r="BB36" s="15">
        <v>0.76415104721723759</v>
      </c>
      <c r="BC36" s="15">
        <v>1.1313419295608398</v>
      </c>
      <c r="BD36" s="16">
        <v>1.1263853473052008</v>
      </c>
      <c r="BE36" s="16">
        <v>1.5537167510114862</v>
      </c>
      <c r="BF36" s="16">
        <v>0.16017825412568032</v>
      </c>
      <c r="BG36" s="17">
        <v>0.36384665686510487</v>
      </c>
      <c r="BH36" s="17">
        <v>1.9425247070983059E-2</v>
      </c>
      <c r="BI36" s="17">
        <v>1.3193888751191569</v>
      </c>
      <c r="BJ36" s="18">
        <v>0.6139357578632223</v>
      </c>
      <c r="BK36" s="18">
        <v>1.5919996998621873</v>
      </c>
      <c r="BL36" s="18">
        <v>0.96453729907501684</v>
      </c>
      <c r="BM36" s="19">
        <v>5.2255068502882196E-4</v>
      </c>
      <c r="BN36" s="19">
        <v>7.6748550898741996E-4</v>
      </c>
      <c r="BO36" s="19">
        <v>2.0138690117402769E-3</v>
      </c>
      <c r="BP36" s="20">
        <v>2.6428472514137269E-3</v>
      </c>
      <c r="BQ36" s="20">
        <v>2.5568979794433622E-3</v>
      </c>
      <c r="BR36" s="20">
        <v>3.7173570092995378E-3</v>
      </c>
      <c r="BV36" s="1">
        <v>28</v>
      </c>
      <c r="BW36" s="15">
        <v>2.0688609924909142E-2</v>
      </c>
      <c r="BX36" s="15">
        <v>0.42191539637293468</v>
      </c>
      <c r="BY36" s="15">
        <v>0.73405716220558248</v>
      </c>
      <c r="BZ36" s="16">
        <v>0.52880025643841055</v>
      </c>
      <c r="CA36" s="16">
        <v>1.249736583911965</v>
      </c>
      <c r="CB36" s="16">
        <v>0.96139343843547764</v>
      </c>
      <c r="CC36" s="17">
        <v>0.89444612476116658</v>
      </c>
      <c r="CD36" s="17">
        <v>0.87653384354450314</v>
      </c>
      <c r="CE36" s="17">
        <v>0.23769708427311564</v>
      </c>
      <c r="CF36" s="18">
        <v>0.25541493734459186</v>
      </c>
      <c r="CG36" s="18">
        <v>0.42163697711403914</v>
      </c>
      <c r="CH36" s="18">
        <v>0.25532337325943705</v>
      </c>
      <c r="CI36" s="19">
        <v>1.9008899843853122E-4</v>
      </c>
      <c r="CJ36" s="19">
        <v>2.3486310096743068E-7</v>
      </c>
      <c r="CK36" s="19">
        <v>9.6679595434789878E-4</v>
      </c>
      <c r="CL36" s="20">
        <v>1.4757179157335321E-3</v>
      </c>
      <c r="CM36" s="20">
        <v>5.3767747086856943E-3</v>
      </c>
      <c r="CN36" s="20">
        <v>8.7096487388560462E-4</v>
      </c>
      <c r="CS36" s="1">
        <v>28</v>
      </c>
      <c r="CT36" s="15">
        <v>3.9935144480667172E-2</v>
      </c>
      <c r="CU36" s="15">
        <v>0.61760348816014854</v>
      </c>
      <c r="CV36" s="15">
        <v>1.052429634428951</v>
      </c>
      <c r="CW36" s="16">
        <v>0.7113973043942462</v>
      </c>
      <c r="CX36" s="16">
        <v>1.1223573617806073</v>
      </c>
      <c r="CY36" s="16">
        <v>0.10912761966389804</v>
      </c>
      <c r="CZ36" s="17">
        <v>0.89890384332444484</v>
      </c>
      <c r="DA36" s="17">
        <v>0.10144967429763854</v>
      </c>
      <c r="DB36" s="17">
        <v>1.3564412423193963</v>
      </c>
      <c r="DC36" s="18">
        <v>0.5119890318034791</v>
      </c>
      <c r="DD36" s="18">
        <v>0.91212341013069709</v>
      </c>
      <c r="DE36" s="18">
        <v>0.48201368309105097</v>
      </c>
      <c r="DF36" s="19">
        <v>3.6805504879633411E-4</v>
      </c>
      <c r="DG36" s="19">
        <v>2.2226264331592915E-4</v>
      </c>
      <c r="DH36" s="19">
        <v>1.1940882935530528E-3</v>
      </c>
      <c r="DI36" s="20">
        <v>1.6604700561859698E-3</v>
      </c>
      <c r="DJ36" s="20">
        <v>1.5520221895375386E-3</v>
      </c>
      <c r="DK36" s="20">
        <v>3.5090836015719828E-3</v>
      </c>
    </row>
    <row r="37" spans="6:115" ht="15.75" x14ac:dyDescent="0.25">
      <c r="F37" s="1">
        <v>29</v>
      </c>
      <c r="G37" s="15">
        <v>4.7700187841408483E-2</v>
      </c>
      <c r="H37" s="15">
        <v>0.10337661679130623</v>
      </c>
      <c r="I37" s="15">
        <v>4.8650261360127844E-2</v>
      </c>
      <c r="J37" s="16">
        <v>0.15130958686733118</v>
      </c>
      <c r="K37" s="16">
        <v>7.7498908795272936E-2</v>
      </c>
      <c r="L37" s="16">
        <v>0.71897085627081991</v>
      </c>
      <c r="M37" s="17">
        <v>0.96788820612566262</v>
      </c>
      <c r="N37" s="17">
        <v>0.61126908524119372</v>
      </c>
      <c r="O37" s="17">
        <v>0.87441300093469909</v>
      </c>
      <c r="P37" s="18">
        <v>0.39750156534511238</v>
      </c>
      <c r="Q37" s="18">
        <v>0.86147180659421807</v>
      </c>
      <c r="R37" s="18">
        <v>0.37423277969322766</v>
      </c>
      <c r="S37" s="19">
        <v>4.1956152137057062E-4</v>
      </c>
      <c r="T37" s="19">
        <v>9.1065563274717043E-4</v>
      </c>
      <c r="U37" s="19">
        <v>4.2305145819299117E-4</v>
      </c>
      <c r="V37" s="20">
        <v>2.9824037818115823E-4</v>
      </c>
      <c r="W37" s="20">
        <v>6.1716841972736525E-4</v>
      </c>
      <c r="X37" s="20">
        <v>2.9566408954617707E-3</v>
      </c>
      <c r="AC37" s="1">
        <v>29</v>
      </c>
      <c r="AD37" s="15">
        <v>1.8390256318008689E-2</v>
      </c>
      <c r="AE37" s="15">
        <v>0.6391318588156798</v>
      </c>
      <c r="AF37" s="15">
        <v>1.3172729233090814</v>
      </c>
      <c r="AG37" s="16">
        <v>4.6380852103529387E-2</v>
      </c>
      <c r="AH37" s="16">
        <v>0.30648157763293615</v>
      </c>
      <c r="AI37" s="16">
        <v>0.67149461821028433</v>
      </c>
      <c r="AJ37" s="17">
        <v>1.0867152580087807</v>
      </c>
      <c r="AK37" s="17">
        <v>0.70219206179566862</v>
      </c>
      <c r="AL37" s="17">
        <v>0.78003098411659932</v>
      </c>
      <c r="AM37" s="18">
        <v>0.15853669239680002</v>
      </c>
      <c r="AN37" s="18">
        <v>0.33731905818564573</v>
      </c>
      <c r="AO37" s="18">
        <v>5.8462870289344854E-2</v>
      </c>
      <c r="AP37" s="19">
        <v>1.6259976836563439E-4</v>
      </c>
      <c r="AQ37" s="19">
        <v>1.1399689685802625E-3</v>
      </c>
      <c r="AR37" s="19">
        <v>1.8123298622341186E-3</v>
      </c>
      <c r="AS37" s="20">
        <v>7.2287974961837711E-5</v>
      </c>
      <c r="AT37" s="20">
        <v>2.9800588697217467E-3</v>
      </c>
      <c r="AU37" s="20">
        <v>2.4505577018592013E-3</v>
      </c>
      <c r="AZ37" s="1">
        <v>29</v>
      </c>
      <c r="BA37" s="15">
        <v>5.0609522279537633E-2</v>
      </c>
      <c r="BB37" s="15">
        <v>0.75567388147593662</v>
      </c>
      <c r="BC37" s="15">
        <v>1.1005362310180435</v>
      </c>
      <c r="BD37" s="16">
        <v>1.051554333752291</v>
      </c>
      <c r="BE37" s="16">
        <v>1.661937248692972</v>
      </c>
      <c r="BF37" s="16">
        <v>0.30454195757921443</v>
      </c>
      <c r="BG37" s="17">
        <v>0.23757266981267061</v>
      </c>
      <c r="BH37" s="17">
        <v>0.1591158773396833</v>
      </c>
      <c r="BI37" s="17">
        <v>1.4464303837939205</v>
      </c>
      <c r="BJ37" s="18">
        <v>0.53839917318649833</v>
      </c>
      <c r="BK37" s="18">
        <v>1.4998565939783215</v>
      </c>
      <c r="BL37" s="18">
        <v>1.2888078100518041</v>
      </c>
      <c r="BM37" s="19">
        <v>4.5829033330402341E-4</v>
      </c>
      <c r="BN37" s="19">
        <v>6.8986119638170251E-4</v>
      </c>
      <c r="BO37" s="19">
        <v>2.2951356382664434E-3</v>
      </c>
      <c r="BP37" s="20">
        <v>2.4754344140753832E-3</v>
      </c>
      <c r="BQ37" s="20">
        <v>2.9350054166074058E-3</v>
      </c>
      <c r="BR37" s="20">
        <v>3.0481007888454315E-3</v>
      </c>
      <c r="BV37" s="1">
        <v>29</v>
      </c>
      <c r="BW37" s="15">
        <v>2.4820379951323399E-2</v>
      </c>
      <c r="BX37" s="15">
        <v>0.42137868305323223</v>
      </c>
      <c r="BY37" s="15">
        <v>0.7386520220916053</v>
      </c>
      <c r="BZ37" s="16">
        <v>0.52811480899085073</v>
      </c>
      <c r="CA37" s="16">
        <v>1.2454692912293519</v>
      </c>
      <c r="CB37" s="16">
        <v>0.95600178647308764</v>
      </c>
      <c r="CC37" s="17">
        <v>0.93490937281452435</v>
      </c>
      <c r="CD37" s="17">
        <v>0.8661742004525097</v>
      </c>
      <c r="CE37" s="17">
        <v>0.26479523038823577</v>
      </c>
      <c r="CF37" s="18">
        <v>0.30642444384349893</v>
      </c>
      <c r="CG37" s="18">
        <v>0.41524753283188887</v>
      </c>
      <c r="CH37" s="18">
        <v>0.20795368371296519</v>
      </c>
      <c r="CI37" s="19">
        <v>2.2804269069043315E-4</v>
      </c>
      <c r="CJ37" s="19">
        <v>5.1719597216060009E-6</v>
      </c>
      <c r="CK37" s="19">
        <v>9.2504036398399769E-4</v>
      </c>
      <c r="CL37" s="20">
        <v>1.4849115230888277E-3</v>
      </c>
      <c r="CM37" s="20">
        <v>5.361330289974986E-3</v>
      </c>
      <c r="CN37" s="20">
        <v>8.3270951741643007E-4</v>
      </c>
      <c r="CS37" s="1">
        <v>29</v>
      </c>
      <c r="CT37" s="15">
        <v>3.41448317369785E-2</v>
      </c>
      <c r="CU37" s="15">
        <v>0.61811548220815338</v>
      </c>
      <c r="CV37" s="15">
        <v>1.0461630376427187</v>
      </c>
      <c r="CW37" s="16">
        <v>0.73913571779540255</v>
      </c>
      <c r="CX37" s="16">
        <v>1.1429961140277858</v>
      </c>
      <c r="CY37" s="16">
        <v>0.1735199986002596</v>
      </c>
      <c r="CZ37" s="17">
        <v>0.9139191407432008</v>
      </c>
      <c r="DA37" s="17">
        <v>0.10225879231808327</v>
      </c>
      <c r="DB37" s="17">
        <v>1.3658544479374546</v>
      </c>
      <c r="DC37" s="18">
        <v>0.43775425303829335</v>
      </c>
      <c r="DD37" s="18">
        <v>0.91894999743730255</v>
      </c>
      <c r="DE37" s="18">
        <v>0.56339805693820655</v>
      </c>
      <c r="DF37" s="19">
        <v>3.1470789213472461E-4</v>
      </c>
      <c r="DG37" s="19">
        <v>2.2702918898820368E-4</v>
      </c>
      <c r="DH37" s="19">
        <v>1.252464867328773E-3</v>
      </c>
      <c r="DI37" s="20">
        <v>1.7435170715806025E-3</v>
      </c>
      <c r="DJ37" s="20">
        <v>1.613944321457228E-3</v>
      </c>
      <c r="DK37" s="20">
        <v>3.2467895257728419E-3</v>
      </c>
    </row>
    <row r="38" spans="6:115" ht="15.75" x14ac:dyDescent="0.25">
      <c r="F38" s="1">
        <v>30</v>
      </c>
      <c r="G38" s="15">
        <v>4.9638414864664818E-2</v>
      </c>
      <c r="H38" s="15">
        <v>0.10053796623888613</v>
      </c>
      <c r="I38" s="15">
        <v>5.0365119885433157E-2</v>
      </c>
      <c r="J38" s="16">
        <v>0.15087321254621369</v>
      </c>
      <c r="K38" s="16">
        <v>7.2710767736911652E-2</v>
      </c>
      <c r="L38" s="16">
        <v>0.73028694131236105</v>
      </c>
      <c r="M38" s="17">
        <v>1.0073878052115435</v>
      </c>
      <c r="N38" s="17">
        <v>0.61403206699364687</v>
      </c>
      <c r="O38" s="17">
        <v>0.92131476592683881</v>
      </c>
      <c r="P38" s="18">
        <v>0.4136534572056097</v>
      </c>
      <c r="Q38" s="18">
        <v>0.83781638532392089</v>
      </c>
      <c r="R38" s="18">
        <v>0.38742399911871656</v>
      </c>
      <c r="S38" s="19">
        <v>4.3660132883016622E-4</v>
      </c>
      <c r="T38" s="19">
        <v>8.8562449175466629E-4</v>
      </c>
      <c r="U38" s="19">
        <v>4.3795596595597175E-4</v>
      </c>
      <c r="V38" s="20">
        <v>2.9139970629865619E-4</v>
      </c>
      <c r="W38" s="20">
        <v>5.911372079091538E-4</v>
      </c>
      <c r="X38" s="20">
        <v>3.0069602555785613E-3</v>
      </c>
      <c r="AC38" s="1">
        <v>30</v>
      </c>
      <c r="AD38" s="15">
        <v>1.4013956578870968E-2</v>
      </c>
      <c r="AE38" s="15">
        <v>0.63736925065338512</v>
      </c>
      <c r="AF38" s="15">
        <v>1.3281755104163548</v>
      </c>
      <c r="AG38" s="16">
        <v>4.4991791131861275E-2</v>
      </c>
      <c r="AH38" s="16">
        <v>0.30156061461497596</v>
      </c>
      <c r="AI38" s="16">
        <v>0.68059611215926774</v>
      </c>
      <c r="AJ38" s="17">
        <v>1.2101312405523956</v>
      </c>
      <c r="AK38" s="17">
        <v>0.7041043364622781</v>
      </c>
      <c r="AL38" s="17">
        <v>0.9187789057907032</v>
      </c>
      <c r="AM38" s="18">
        <v>0.12080997050763838</v>
      </c>
      <c r="AN38" s="18">
        <v>0.35251395613644837</v>
      </c>
      <c r="AO38" s="18">
        <v>2.540318438206467E-2</v>
      </c>
      <c r="AP38" s="19">
        <v>1.2390073955337311E-4</v>
      </c>
      <c r="AQ38" s="19">
        <v>1.1556301511106428E-3</v>
      </c>
      <c r="AR38" s="19">
        <v>1.7164008394549013E-3</v>
      </c>
      <c r="AS38" s="20">
        <v>7.9999178770329138E-5</v>
      </c>
      <c r="AT38" s="20">
        <v>2.9589662373031844E-3</v>
      </c>
      <c r="AU38" s="20">
        <v>2.4576467583687922E-3</v>
      </c>
      <c r="AZ38" s="1">
        <v>30</v>
      </c>
      <c r="BA38" s="15">
        <v>6.2411379013909175E-2</v>
      </c>
      <c r="BB38" s="15">
        <v>0.76213035725662981</v>
      </c>
      <c r="BC38" s="15">
        <v>1.1334825670596975</v>
      </c>
      <c r="BD38" s="16">
        <v>1.0508595442880317</v>
      </c>
      <c r="BE38" s="16">
        <v>1.5634841258209562</v>
      </c>
      <c r="BF38" s="16">
        <v>0.16803875338122171</v>
      </c>
      <c r="BG38" s="17">
        <v>0.50388192283196187</v>
      </c>
      <c r="BH38" s="17">
        <v>7.2079200501003998E-2</v>
      </c>
      <c r="BI38" s="17">
        <v>1.2925896080953216</v>
      </c>
      <c r="BJ38" s="18">
        <v>0.66395084057348808</v>
      </c>
      <c r="BK38" s="18">
        <v>1.570035678551114</v>
      </c>
      <c r="BL38" s="18">
        <v>0.942004272771235</v>
      </c>
      <c r="BM38" s="19">
        <v>5.650944106514455E-4</v>
      </c>
      <c r="BN38" s="19">
        <v>7.4898110798504725E-4</v>
      </c>
      <c r="BO38" s="19">
        <v>1.9943177417741649E-3</v>
      </c>
      <c r="BP38" s="20">
        <v>2.444224048432031E-3</v>
      </c>
      <c r="BQ38" s="20">
        <v>2.5950592833544617E-3</v>
      </c>
      <c r="BR38" s="20">
        <v>3.6956294197671991E-3</v>
      </c>
      <c r="BV38" s="1">
        <v>30</v>
      </c>
      <c r="BW38" s="15">
        <v>3.6520104128240069E-2</v>
      </c>
      <c r="BX38" s="15">
        <v>0.41749296375743639</v>
      </c>
      <c r="BY38" s="15">
        <v>0.74568297762466818</v>
      </c>
      <c r="BZ38" s="16">
        <v>0.57689447539826089</v>
      </c>
      <c r="CA38" s="16">
        <v>1.2802851303981813</v>
      </c>
      <c r="CB38" s="16">
        <v>0.87667500735599535</v>
      </c>
      <c r="CC38" s="17">
        <v>0.95467082107747614</v>
      </c>
      <c r="CD38" s="17">
        <v>0.82732534559084248</v>
      </c>
      <c r="CE38" s="17">
        <v>0.21918863612812381</v>
      </c>
      <c r="CF38" s="18">
        <v>0.45086548306462365</v>
      </c>
      <c r="CG38" s="18">
        <v>0.36898896978674389</v>
      </c>
      <c r="CH38" s="18">
        <v>0.13546960605238126</v>
      </c>
      <c r="CI38" s="19">
        <v>3.3549723299963752E-4</v>
      </c>
      <c r="CJ38" s="19">
        <v>4.0914168710881604E-5</v>
      </c>
      <c r="CK38" s="19">
        <v>8.6113937590648337E-4</v>
      </c>
      <c r="CL38" s="20">
        <v>1.6471255535431828E-3</v>
      </c>
      <c r="CM38" s="20">
        <v>5.4603652154379123E-3</v>
      </c>
      <c r="CN38" s="20">
        <v>5.0171515186425708E-4</v>
      </c>
      <c r="CS38" s="1">
        <v>30</v>
      </c>
      <c r="CT38" s="15">
        <v>4.2161317259226824E-2</v>
      </c>
      <c r="CU38" s="15">
        <v>0.61737705939402276</v>
      </c>
      <c r="CV38" s="15">
        <v>1.0535848450429586</v>
      </c>
      <c r="CW38" s="16">
        <v>0.69122598959038284</v>
      </c>
      <c r="CX38" s="16">
        <v>1.10820715033858</v>
      </c>
      <c r="CY38" s="16">
        <v>7.5828138281022361E-2</v>
      </c>
      <c r="CZ38" s="17">
        <v>0.9030801000156371</v>
      </c>
      <c r="DA38" s="17">
        <v>7.6634491925161002E-2</v>
      </c>
      <c r="DB38" s="17">
        <v>1.3172381659205181</v>
      </c>
      <c r="DC38" s="18">
        <v>0.54052970845162596</v>
      </c>
      <c r="DD38" s="18">
        <v>0.9091043599155002</v>
      </c>
      <c r="DE38" s="18">
        <v>0.46701094784409264</v>
      </c>
      <c r="DF38" s="19">
        <v>3.8856352163096908E-4</v>
      </c>
      <c r="DG38" s="19">
        <v>2.2015465975577797E-4</v>
      </c>
      <c r="DH38" s="19">
        <v>1.1833261050332444E-3</v>
      </c>
      <c r="DI38" s="20">
        <v>1.6050272869453375E-3</v>
      </c>
      <c r="DJ38" s="20">
        <v>1.5091877277281229E-3</v>
      </c>
      <c r="DK38" s="20">
        <v>3.6368807830796657E-3</v>
      </c>
    </row>
    <row r="39" spans="6:115" ht="15.75" x14ac:dyDescent="0.25">
      <c r="F39" s="1">
        <v>31</v>
      </c>
      <c r="G39" s="15">
        <v>2.9754303951164428E-2</v>
      </c>
      <c r="H39" s="15">
        <v>0.10462566879980051</v>
      </c>
      <c r="I39" s="15">
        <v>8.1930632427606273E-2</v>
      </c>
      <c r="J39" s="16">
        <v>0.17084934630214577</v>
      </c>
      <c r="K39" s="16">
        <v>7.8020159744524697E-2</v>
      </c>
      <c r="L39" s="16">
        <v>0.75607553235513569</v>
      </c>
      <c r="M39" s="17">
        <v>0.7832417703368878</v>
      </c>
      <c r="N39" s="17">
        <v>0.67614628079356331</v>
      </c>
      <c r="O39" s="17">
        <v>0.80481194694181779</v>
      </c>
      <c r="P39" s="18">
        <v>0.24795253292637029</v>
      </c>
      <c r="Q39" s="18">
        <v>0.87188057333172619</v>
      </c>
      <c r="R39" s="18">
        <v>0.63023563405856042</v>
      </c>
      <c r="S39" s="19">
        <v>2.617599899071843E-4</v>
      </c>
      <c r="T39" s="19">
        <v>9.2167018903754894E-4</v>
      </c>
      <c r="U39" s="19">
        <v>7.1221298152024382E-4</v>
      </c>
      <c r="V39" s="20">
        <v>4.0620975564464867E-4</v>
      </c>
      <c r="W39" s="20">
        <v>6.232144666291628E-4</v>
      </c>
      <c r="X39" s="20">
        <v>3.2277078111903061E-3</v>
      </c>
      <c r="AC39" s="1">
        <v>31</v>
      </c>
      <c r="AD39" s="15">
        <v>1.8456030712677877E-2</v>
      </c>
      <c r="AE39" s="15">
        <v>0.63921282000641466</v>
      </c>
      <c r="AF39" s="15">
        <v>1.3211588677255319</v>
      </c>
      <c r="AG39" s="16">
        <v>3.0059040598313085E-2</v>
      </c>
      <c r="AH39" s="16">
        <v>0.31288486986129749</v>
      </c>
      <c r="AI39" s="16">
        <v>0.67910626147804709</v>
      </c>
      <c r="AJ39" s="17">
        <v>1.1711593640796665</v>
      </c>
      <c r="AK39" s="17">
        <v>0.6884162672334232</v>
      </c>
      <c r="AL39" s="17">
        <v>0.84725553925377384</v>
      </c>
      <c r="AM39" s="18">
        <v>0.15910371304047824</v>
      </c>
      <c r="AN39" s="18">
        <v>0.33662111688607815</v>
      </c>
      <c r="AO39" s="18">
        <v>2.8570990162688756E-2</v>
      </c>
      <c r="AP39" s="19">
        <v>1.6318142831484028E-4</v>
      </c>
      <c r="AQ39" s="19">
        <v>1.139249596266656E-3</v>
      </c>
      <c r="AR39" s="19">
        <v>1.7781408811872179E-3</v>
      </c>
      <c r="AS39" s="20">
        <v>2.9965894383421343E-5</v>
      </c>
      <c r="AT39" s="20">
        <v>3.0004737339301979E-3</v>
      </c>
      <c r="AU39" s="20">
        <v>2.4365491859499322E-3</v>
      </c>
      <c r="AZ39" s="1">
        <v>31</v>
      </c>
      <c r="BA39" s="15">
        <v>8.772934156462027E-2</v>
      </c>
      <c r="BB39" s="15">
        <v>0.75609183547281167</v>
      </c>
      <c r="BC39" s="15">
        <v>1.1570404400923071</v>
      </c>
      <c r="BD39" s="16">
        <v>0.87046841724004431</v>
      </c>
      <c r="BE39" s="16">
        <v>1.5578068595594283</v>
      </c>
      <c r="BF39" s="16">
        <v>9.9853567814241206E-2</v>
      </c>
      <c r="BG39" s="17">
        <v>0.70122155159660371</v>
      </c>
      <c r="BH39" s="17">
        <v>0.15421532239827038</v>
      </c>
      <c r="BI39" s="17">
        <v>1.3945732338185282</v>
      </c>
      <c r="BJ39" s="18">
        <v>0.93329086770855219</v>
      </c>
      <c r="BK39" s="18">
        <v>1.5043995722054038</v>
      </c>
      <c r="BL39" s="18">
        <v>0.6940266619016594</v>
      </c>
      <c r="BM39" s="19">
        <v>7.9413114854742783E-4</v>
      </c>
      <c r="BN39" s="19">
        <v>6.936880364007969E-4</v>
      </c>
      <c r="BO39" s="19">
        <v>1.7790986376003959E-3</v>
      </c>
      <c r="BP39" s="20">
        <v>1.9348425301948247E-3</v>
      </c>
      <c r="BQ39" s="20">
        <v>2.5960722507157863E-3</v>
      </c>
      <c r="BR39" s="20">
        <v>4.8066535904986996E-3</v>
      </c>
      <c r="BV39" s="1">
        <v>31</v>
      </c>
      <c r="BW39" s="15">
        <v>2.7810366429609983E-2</v>
      </c>
      <c r="BX39" s="15">
        <v>0.42110056585283856</v>
      </c>
      <c r="BY39" s="15">
        <v>0.7372667335659695</v>
      </c>
      <c r="BZ39" s="16">
        <v>0.5305269244905535</v>
      </c>
      <c r="CA39" s="16">
        <v>1.2358494321054667</v>
      </c>
      <c r="CB39" s="16">
        <v>0.92145184738494668</v>
      </c>
      <c r="CC39" s="17">
        <v>0.9085754900677111</v>
      </c>
      <c r="CD39" s="17">
        <v>0.84517167353635647</v>
      </c>
      <c r="CE39" s="17">
        <v>0.20441105454135619</v>
      </c>
      <c r="CF39" s="18">
        <v>0.34333785715566173</v>
      </c>
      <c r="CG39" s="18">
        <v>0.41193661377964957</v>
      </c>
      <c r="CH39" s="18">
        <v>0.22223500871946383</v>
      </c>
      <c r="CI39" s="19">
        <v>2.5550621027481402E-4</v>
      </c>
      <c r="CJ39" s="19">
        <v>7.7302719604377401E-6</v>
      </c>
      <c r="CK39" s="19">
        <v>9.3762952055598259E-4</v>
      </c>
      <c r="CL39" s="20">
        <v>1.4993731924548559E-3</v>
      </c>
      <c r="CM39" s="20">
        <v>5.3295532910621057E-3</v>
      </c>
      <c r="CN39" s="20">
        <v>7.0554406871059516E-4</v>
      </c>
      <c r="CS39" s="1">
        <v>31</v>
      </c>
      <c r="CT39" s="15">
        <v>4.1743459406595088E-2</v>
      </c>
      <c r="CU39" s="15">
        <v>0.61796615596937365</v>
      </c>
      <c r="CV39" s="15">
        <v>1.0541056919655902</v>
      </c>
      <c r="CW39" s="16">
        <v>0.69686789453386011</v>
      </c>
      <c r="CX39" s="16">
        <v>1.105064371769358</v>
      </c>
      <c r="CY39" s="16">
        <v>8.2470698605499618E-2</v>
      </c>
      <c r="CZ39" s="17">
        <v>0.89943031148377939</v>
      </c>
      <c r="DA39" s="17">
        <v>7.6400705099658489E-2</v>
      </c>
      <c r="DB39" s="17">
        <v>1.3128011667529609</v>
      </c>
      <c r="DC39" s="18">
        <v>0.53517255649486262</v>
      </c>
      <c r="DD39" s="18">
        <v>0.91695898092025374</v>
      </c>
      <c r="DE39" s="18">
        <v>0.4602467020957014</v>
      </c>
      <c r="DF39" s="19">
        <v>3.8471410275353612E-4</v>
      </c>
      <c r="DG39" s="19">
        <v>2.2563899131422538E-4</v>
      </c>
      <c r="DH39" s="19">
        <v>1.1784737017962454E-3</v>
      </c>
      <c r="DI39" s="20">
        <v>1.6200242678534593E-3</v>
      </c>
      <c r="DJ39" s="20">
        <v>1.4977171663004274E-3</v>
      </c>
      <c r="DK39" s="20">
        <v>3.6142028765185907E-3</v>
      </c>
    </row>
    <row r="40" spans="6:115" ht="15.75" x14ac:dyDescent="0.25">
      <c r="F40" s="1">
        <v>32</v>
      </c>
      <c r="G40" s="15">
        <v>5.489152450233814E-2</v>
      </c>
      <c r="H40" s="15">
        <v>9.6105654160527687E-2</v>
      </c>
      <c r="I40" s="15">
        <v>6.668628041603733E-2</v>
      </c>
      <c r="J40" s="16">
        <v>0.275715290744042</v>
      </c>
      <c r="K40" s="16">
        <v>0.10204072191418893</v>
      </c>
      <c r="L40" s="16">
        <v>0.82396345364968959</v>
      </c>
      <c r="M40" s="17">
        <v>0.78706981395207876</v>
      </c>
      <c r="N40" s="17">
        <v>0.69709144500535902</v>
      </c>
      <c r="O40" s="17">
        <v>0.84163262359989044</v>
      </c>
      <c r="P40" s="18">
        <v>0.45742937085281798</v>
      </c>
      <c r="Q40" s="18">
        <v>0.8008804513378045</v>
      </c>
      <c r="R40" s="18">
        <v>0.51297138781567175</v>
      </c>
      <c r="S40" s="19">
        <v>4.8278041009341965E-4</v>
      </c>
      <c r="T40" s="19">
        <v>8.4654333262013104E-4</v>
      </c>
      <c r="U40" s="19">
        <v>5.7978400323333023E-4</v>
      </c>
      <c r="V40" s="20">
        <v>6.3556676205633877E-4</v>
      </c>
      <c r="W40" s="20">
        <v>6.7602586316151115E-4</v>
      </c>
      <c r="X40" s="20">
        <v>3.4318261505593695E-3</v>
      </c>
      <c r="AC40" s="1">
        <v>32</v>
      </c>
      <c r="AD40" s="15">
        <v>1.9177975488631368E-2</v>
      </c>
      <c r="AE40" s="15">
        <v>0.64208448691723274</v>
      </c>
      <c r="AF40" s="15">
        <v>1.3235376172177096</v>
      </c>
      <c r="AG40" s="16">
        <v>6.0218488288872572E-2</v>
      </c>
      <c r="AH40" s="16">
        <v>0.32946587223994406</v>
      </c>
      <c r="AI40" s="16">
        <v>0.60810608895602503</v>
      </c>
      <c r="AJ40" s="17">
        <v>1.0842735371245991</v>
      </c>
      <c r="AK40" s="17">
        <v>0.68843606902535126</v>
      </c>
      <c r="AL40" s="17">
        <v>0.75429577584826646</v>
      </c>
      <c r="AM40" s="18">
        <v>0.16532737490214625</v>
      </c>
      <c r="AN40" s="18">
        <v>0.31186536765501721</v>
      </c>
      <c r="AO40" s="18">
        <v>1.027291714590013E-2</v>
      </c>
      <c r="AP40" s="19">
        <v>1.6956582261162811E-4</v>
      </c>
      <c r="AQ40" s="19">
        <v>1.1137329377225445E-3</v>
      </c>
      <c r="AR40" s="19">
        <v>1.7572110438521806E-3</v>
      </c>
      <c r="AS40" s="20">
        <v>1.0599081147844025E-4</v>
      </c>
      <c r="AT40" s="20">
        <v>3.0617972927338144E-3</v>
      </c>
      <c r="AU40" s="20">
        <v>2.7143407810071851E-3</v>
      </c>
      <c r="AZ40" s="1">
        <v>32</v>
      </c>
      <c r="BA40" s="15">
        <v>6.8751605133654678E-2</v>
      </c>
      <c r="BB40" s="15">
        <v>0.7580035000562827</v>
      </c>
      <c r="BC40" s="15">
        <v>1.1348268659976761</v>
      </c>
      <c r="BD40" s="16">
        <v>1.0366405771562595</v>
      </c>
      <c r="BE40" s="16">
        <v>1.5981135431746822</v>
      </c>
      <c r="BF40" s="16">
        <v>0.13341472267328594</v>
      </c>
      <c r="BG40" s="17">
        <v>0.53343451354906346</v>
      </c>
      <c r="BH40" s="17">
        <v>4.2531845591035816E-2</v>
      </c>
      <c r="BI40" s="17">
        <v>1.392403613034576</v>
      </c>
      <c r="BJ40" s="18">
        <v>0.73140005461327551</v>
      </c>
      <c r="BK40" s="18">
        <v>1.52517853506914</v>
      </c>
      <c r="BL40" s="18">
        <v>0.92785375763460243</v>
      </c>
      <c r="BM40" s="19">
        <v>6.2246159017609326E-4</v>
      </c>
      <c r="BN40" s="19">
        <v>7.11191891642593E-4</v>
      </c>
      <c r="BO40" s="19">
        <v>1.9820393070011377E-3</v>
      </c>
      <c r="BP40" s="20">
        <v>2.3932072201980907E-3</v>
      </c>
      <c r="BQ40" s="20">
        <v>2.7205906412174352E-3</v>
      </c>
      <c r="BR40" s="20">
        <v>3.8327983974223434E-3</v>
      </c>
      <c r="BV40" s="1">
        <v>32</v>
      </c>
      <c r="BW40" s="15">
        <v>3.4488276496589122E-2</v>
      </c>
      <c r="BX40" s="15">
        <v>0.42517369880260186</v>
      </c>
      <c r="BY40" s="15">
        <v>0.75192825150379372</v>
      </c>
      <c r="BZ40" s="16">
        <v>0.59968643135976241</v>
      </c>
      <c r="CA40" s="16">
        <v>1.2848910078255431</v>
      </c>
      <c r="CB40" s="16">
        <v>0.73397594406860212</v>
      </c>
      <c r="CC40" s="17">
        <v>0.91183727989977847</v>
      </c>
      <c r="CD40" s="17">
        <v>0.79424070714435213</v>
      </c>
      <c r="CE40" s="17">
        <v>0.14388444772336764</v>
      </c>
      <c r="CF40" s="18">
        <v>0.42578119131594971</v>
      </c>
      <c r="CG40" s="18">
        <v>0.46042629175302208</v>
      </c>
      <c r="CH40" s="18">
        <v>7.1085339257413838E-2</v>
      </c>
      <c r="CI40" s="19">
        <v>3.1683798904191818E-4</v>
      </c>
      <c r="CJ40" s="19">
        <v>2.9738618864127986E-5</v>
      </c>
      <c r="CK40" s="19">
        <v>8.0437147943923648E-4</v>
      </c>
      <c r="CL40" s="20">
        <v>1.7029006902097299E-3</v>
      </c>
      <c r="CM40" s="20">
        <v>5.500209288334057E-3</v>
      </c>
      <c r="CN40" s="20">
        <v>6.8722078792271546E-5</v>
      </c>
      <c r="CS40" s="1">
        <v>32</v>
      </c>
      <c r="CT40" s="15">
        <v>3.6878277675534456E-2</v>
      </c>
      <c r="CU40" s="15">
        <v>0.61696407983844548</v>
      </c>
      <c r="CV40" s="15">
        <v>1.0439550863057612</v>
      </c>
      <c r="CW40" s="16">
        <v>0.71771194814941397</v>
      </c>
      <c r="CX40" s="16">
        <v>1.1244003356270083</v>
      </c>
      <c r="CY40" s="16">
        <v>0.16383482176662792</v>
      </c>
      <c r="CZ40" s="17">
        <v>0.87701426995540011</v>
      </c>
      <c r="DA40" s="17">
        <v>0.10328711005699809</v>
      </c>
      <c r="DB40" s="17">
        <v>1.3368558763204352</v>
      </c>
      <c r="DC40" s="18">
        <v>0.4727984317375854</v>
      </c>
      <c r="DD40" s="18">
        <v>0.90359796584135921</v>
      </c>
      <c r="DE40" s="18">
        <v>0.5920727496259659</v>
      </c>
      <c r="DF40" s="19">
        <v>3.3989237371512271E-4</v>
      </c>
      <c r="DG40" s="19">
        <v>2.1630996931387703E-4</v>
      </c>
      <c r="DH40" s="19">
        <v>1.2730313087655487E-3</v>
      </c>
      <c r="DI40" s="20">
        <v>1.6837052197591351E-3</v>
      </c>
      <c r="DJ40" s="20">
        <v>1.5602635528703113E-3</v>
      </c>
      <c r="DK40" s="20">
        <v>3.2744553874767268E-3</v>
      </c>
    </row>
    <row r="41" spans="6:115" ht="15.75" x14ac:dyDescent="0.25">
      <c r="F41" s="1">
        <v>33</v>
      </c>
      <c r="G41" s="15">
        <v>4.8839483103469923E-2</v>
      </c>
      <c r="H41" s="15">
        <v>0.10232873646994346</v>
      </c>
      <c r="I41" s="15">
        <v>5.2948054889216112E-2</v>
      </c>
      <c r="J41" s="16">
        <v>0.14685696142944737</v>
      </c>
      <c r="K41" s="16">
        <v>8.3754772917388226E-2</v>
      </c>
      <c r="L41" s="16">
        <v>0.71273977327575078</v>
      </c>
      <c r="M41" s="17">
        <v>0.94945818142158145</v>
      </c>
      <c r="N41" s="17">
        <v>0.60517304721705145</v>
      </c>
      <c r="O41" s="17">
        <v>0.84668942584938656</v>
      </c>
      <c r="P41" s="18">
        <v>0.40699569252898565</v>
      </c>
      <c r="Q41" s="18">
        <v>0.85273947058278776</v>
      </c>
      <c r="R41" s="18">
        <v>0.40729272991707233</v>
      </c>
      <c r="S41" s="19">
        <v>4.2957764780782171E-4</v>
      </c>
      <c r="T41" s="19">
        <v>9.0141528780984792E-4</v>
      </c>
      <c r="U41" s="19">
        <v>4.6040430241345293E-4</v>
      </c>
      <c r="V41" s="20">
        <v>2.8214142033056167E-4</v>
      </c>
      <c r="W41" s="20">
        <v>6.3492534801767864E-4</v>
      </c>
      <c r="X41" s="20">
        <v>2.9490411538160011E-3</v>
      </c>
      <c r="AC41" s="1">
        <v>33</v>
      </c>
      <c r="AD41" s="15">
        <v>3.4434074826427607E-3</v>
      </c>
      <c r="AE41" s="15">
        <v>0.6341255961311647</v>
      </c>
      <c r="AF41" s="15">
        <v>1.3332219081052903</v>
      </c>
      <c r="AG41" s="16">
        <v>5.8190035228753836E-2</v>
      </c>
      <c r="AH41" s="16">
        <v>0.33028475108890898</v>
      </c>
      <c r="AI41" s="16">
        <v>0.61329661751427134</v>
      </c>
      <c r="AJ41" s="17">
        <v>1.2465497145379443</v>
      </c>
      <c r="AK41" s="17">
        <v>0.65122194731796512</v>
      </c>
      <c r="AL41" s="17">
        <v>0.86241219879590936</v>
      </c>
      <c r="AM41" s="18">
        <v>2.9684547264335025E-2</v>
      </c>
      <c r="AN41" s="18">
        <v>0.38047649512106313</v>
      </c>
      <c r="AO41" s="18">
        <v>6.4221628143030784E-2</v>
      </c>
      <c r="AP41" s="19">
        <v>3.0440770346640278E-5</v>
      </c>
      <c r="AQ41" s="19">
        <v>1.1844493221777608E-3</v>
      </c>
      <c r="AR41" s="19">
        <v>1.6719917239158555E-3</v>
      </c>
      <c r="AS41" s="20">
        <v>1.4136518706520107E-4</v>
      </c>
      <c r="AT41" s="20">
        <v>3.0390777158476601E-3</v>
      </c>
      <c r="AU41" s="20">
        <v>2.7316117073070689E-3</v>
      </c>
      <c r="AZ41" s="1">
        <v>33</v>
      </c>
      <c r="BA41" s="15">
        <v>5.988455458499186E-2</v>
      </c>
      <c r="BB41" s="15">
        <v>0.75976415511435003</v>
      </c>
      <c r="BC41" s="15">
        <v>1.122263396398067</v>
      </c>
      <c r="BD41" s="16">
        <v>0.95656680817484563</v>
      </c>
      <c r="BE41" s="16">
        <v>1.701384757249877</v>
      </c>
      <c r="BF41" s="16">
        <v>0.27970054565883151</v>
      </c>
      <c r="BG41" s="17">
        <v>0.36713127220981856</v>
      </c>
      <c r="BH41" s="17">
        <v>2.3715999325882094E-2</v>
      </c>
      <c r="BI41" s="17">
        <v>1.2260315319411026</v>
      </c>
      <c r="BJ41" s="18">
        <v>0.6370697296273985</v>
      </c>
      <c r="BK41" s="18">
        <v>1.5443160900481725</v>
      </c>
      <c r="BL41" s="18">
        <v>1.0601008060515422</v>
      </c>
      <c r="BM41" s="19">
        <v>5.4222935290704211E-4</v>
      </c>
      <c r="BN41" s="19">
        <v>7.2731364853584335E-4</v>
      </c>
      <c r="BO41" s="19">
        <v>2.0967773571100028E-3</v>
      </c>
      <c r="BP41" s="20">
        <v>2.2172521699492802E-3</v>
      </c>
      <c r="BQ41" s="20">
        <v>3.0497795927891813E-3</v>
      </c>
      <c r="BR41" s="20">
        <v>3.2265156294368769E-3</v>
      </c>
      <c r="BV41" s="1">
        <v>33</v>
      </c>
      <c r="BW41" s="15">
        <v>3.5260640758891085E-2</v>
      </c>
      <c r="BX41" s="15">
        <v>0.42047096716381382</v>
      </c>
      <c r="BY41" s="15">
        <v>0.74989750634424346</v>
      </c>
      <c r="BZ41" s="16">
        <v>0.59850022472243825</v>
      </c>
      <c r="CA41" s="16">
        <v>1.2685808069543816</v>
      </c>
      <c r="CB41" s="16">
        <v>0.84862485886483563</v>
      </c>
      <c r="CC41" s="17">
        <v>0.9535592571093604</v>
      </c>
      <c r="CD41" s="17">
        <v>0.84273304442106012</v>
      </c>
      <c r="CE41" s="17">
        <v>0.25763786074793865</v>
      </c>
      <c r="CF41" s="18">
        <v>0.4353165525787821</v>
      </c>
      <c r="CG41" s="18">
        <v>0.40444139129128226</v>
      </c>
      <c r="CH41" s="18">
        <v>9.2020856366166248E-2</v>
      </c>
      <c r="CI41" s="19">
        <v>3.2393106840389319E-4</v>
      </c>
      <c r="CJ41" s="19">
        <v>1.3521698549623373E-5</v>
      </c>
      <c r="CK41" s="19">
        <v>8.2283120249793118E-4</v>
      </c>
      <c r="CL41" s="20">
        <v>1.7017763731674851E-3</v>
      </c>
      <c r="CM41" s="20">
        <v>5.4325285604773788E-3</v>
      </c>
      <c r="CN41" s="20">
        <v>3.7810392310966279E-4</v>
      </c>
      <c r="CS41" s="1">
        <v>33</v>
      </c>
      <c r="CT41" s="15">
        <v>3.539548274936799E-2</v>
      </c>
      <c r="CU41" s="15">
        <v>0.61833248743648805</v>
      </c>
      <c r="CV41" s="15">
        <v>1.0465754286295463</v>
      </c>
      <c r="CW41" s="16">
        <v>0.7207776986008001</v>
      </c>
      <c r="CX41" s="16">
        <v>1.1310490093580896</v>
      </c>
      <c r="CY41" s="16">
        <v>0.1526291975373594</v>
      </c>
      <c r="CZ41" s="17">
        <v>0.87332281465125838</v>
      </c>
      <c r="DA41" s="17">
        <v>0.110416437876748</v>
      </c>
      <c r="DB41" s="17">
        <v>1.3423151858839986</v>
      </c>
      <c r="DC41" s="18">
        <v>0.45378824037654852</v>
      </c>
      <c r="DD41" s="18">
        <v>0.92184340048182789</v>
      </c>
      <c r="DE41" s="18">
        <v>0.5580423298365107</v>
      </c>
      <c r="DF41" s="19">
        <v>3.2623087995442557E-4</v>
      </c>
      <c r="DG41" s="19">
        <v>2.2904947208224335E-4</v>
      </c>
      <c r="DH41" s="19">
        <v>1.2486234603510393E-3</v>
      </c>
      <c r="DI41" s="20">
        <v>1.6949831930503922E-3</v>
      </c>
      <c r="DJ41" s="20">
        <v>1.5765281579005475E-3</v>
      </c>
      <c r="DK41" s="20">
        <v>3.3258294242519693E-3</v>
      </c>
    </row>
    <row r="42" spans="6:115" ht="15.75" x14ac:dyDescent="0.25">
      <c r="F42" s="1">
        <v>34</v>
      </c>
      <c r="G42" s="15">
        <v>4.3357184530403173E-2</v>
      </c>
      <c r="H42" s="15">
        <v>0.10355279704692656</v>
      </c>
      <c r="I42" s="15">
        <v>5.8317355323630637E-2</v>
      </c>
      <c r="J42" s="16">
        <v>0.1598625231199646</v>
      </c>
      <c r="K42" s="16">
        <v>8.1197593588576963E-2</v>
      </c>
      <c r="L42" s="16">
        <v>0.73659908000574026</v>
      </c>
      <c r="M42" s="17">
        <v>0.94477757225159953</v>
      </c>
      <c r="N42" s="17">
        <v>0.61105970594581538</v>
      </c>
      <c r="O42" s="17">
        <v>0.85134372043362705</v>
      </c>
      <c r="P42" s="18">
        <v>0.36130987108669321</v>
      </c>
      <c r="Q42" s="18">
        <v>0.86293997539096168</v>
      </c>
      <c r="R42" s="18">
        <v>0.44859504095097946</v>
      </c>
      <c r="S42" s="19">
        <v>3.81377869161037E-4</v>
      </c>
      <c r="T42" s="19">
        <v>9.1220923218771077E-4</v>
      </c>
      <c r="U42" s="19">
        <v>5.0706528425203956E-4</v>
      </c>
      <c r="V42" s="20">
        <v>3.3537423821050627E-4</v>
      </c>
      <c r="W42" s="20">
        <v>6.3038610128085537E-4</v>
      </c>
      <c r="X42" s="20">
        <v>3.0618608521300055E-3</v>
      </c>
      <c r="AC42" s="1">
        <v>34</v>
      </c>
      <c r="AD42" s="15">
        <v>2.3793699968909007E-2</v>
      </c>
      <c r="AE42" s="15">
        <v>0.64024868117494083</v>
      </c>
      <c r="AF42" s="15">
        <v>1.3149359034918429</v>
      </c>
      <c r="AG42" s="16">
        <v>1.6015932868005532E-2</v>
      </c>
      <c r="AH42" s="16">
        <v>0.30358158526758161</v>
      </c>
      <c r="AI42" s="16">
        <v>0.70941023880220633</v>
      </c>
      <c r="AJ42" s="17">
        <v>1.1193296276345155</v>
      </c>
      <c r="AK42" s="17">
        <v>0.71537135873997437</v>
      </c>
      <c r="AL42" s="17">
        <v>0.83866531696642832</v>
      </c>
      <c r="AM42" s="18">
        <v>0.20511810318046678</v>
      </c>
      <c r="AN42" s="18">
        <v>0.3276912792264855</v>
      </c>
      <c r="AO42" s="18">
        <v>7.6439945806488524E-2</v>
      </c>
      <c r="AP42" s="19">
        <v>2.1038636642622954E-4</v>
      </c>
      <c r="AQ42" s="19">
        <v>1.1300454551891324E-3</v>
      </c>
      <c r="AR42" s="19">
        <v>1.8328899318735823E-3</v>
      </c>
      <c r="AS42" s="20">
        <v>2.0088037530285874E-5</v>
      </c>
      <c r="AT42" s="20">
        <v>2.9744787952655782E-3</v>
      </c>
      <c r="AU42" s="20">
        <v>2.2980997547163979E-3</v>
      </c>
      <c r="AZ42" s="1">
        <v>34</v>
      </c>
      <c r="BA42" s="15">
        <v>4.8081737473046095E-2</v>
      </c>
      <c r="BB42" s="15">
        <v>0.76553461595131711</v>
      </c>
      <c r="BC42" s="15">
        <v>1.1207797961047776</v>
      </c>
      <c r="BD42" s="16">
        <v>0.98565287590977479</v>
      </c>
      <c r="BE42" s="16">
        <v>1.6565925500569365</v>
      </c>
      <c r="BF42" s="16">
        <v>0.15446120280310666</v>
      </c>
      <c r="BG42" s="17">
        <v>0.38543047734750618</v>
      </c>
      <c r="BH42" s="17">
        <v>7.6788013743196335E-4</v>
      </c>
      <c r="BI42" s="17">
        <v>1.3129156139697615</v>
      </c>
      <c r="BJ42" s="18">
        <v>0.51150784545782091</v>
      </c>
      <c r="BK42" s="18">
        <v>1.6070384904500086</v>
      </c>
      <c r="BL42" s="18">
        <v>1.0757176512441333</v>
      </c>
      <c r="BM42" s="19">
        <v>4.3541118824108604E-4</v>
      </c>
      <c r="BN42" s="19">
        <v>7.80155928227666E-4</v>
      </c>
      <c r="BO42" s="19">
        <v>2.1103246674868399E-3</v>
      </c>
      <c r="BP42" s="20">
        <v>2.3186843641123112E-3</v>
      </c>
      <c r="BQ42" s="20">
        <v>2.8859910250002008E-3</v>
      </c>
      <c r="BR42" s="20">
        <v>3.6984913925051099E-3</v>
      </c>
      <c r="BV42" s="1">
        <v>34</v>
      </c>
      <c r="BW42" s="15">
        <v>2.5881911421930446E-2</v>
      </c>
      <c r="BX42" s="15">
        <v>0.42389720717862467</v>
      </c>
      <c r="BY42" s="15">
        <v>0.74081889892629293</v>
      </c>
      <c r="BZ42" s="16">
        <v>0.53213186998600137</v>
      </c>
      <c r="CA42" s="16">
        <v>1.2614558503348139</v>
      </c>
      <c r="CB42" s="16">
        <v>0.87708846621104442</v>
      </c>
      <c r="CC42" s="17">
        <v>0.84227294319807833</v>
      </c>
      <c r="CD42" s="17">
        <v>0.87074685270983854</v>
      </c>
      <c r="CE42" s="17">
        <v>0.18603267211297958</v>
      </c>
      <c r="CF42" s="18">
        <v>0.31952977064103077</v>
      </c>
      <c r="CG42" s="18">
        <v>0.44522996289608452</v>
      </c>
      <c r="CH42" s="18">
        <v>0.18561474727274527</v>
      </c>
      <c r="CI42" s="19">
        <v>2.377932205368527E-4</v>
      </c>
      <c r="CJ42" s="19">
        <v>1.7995798489933712E-5</v>
      </c>
      <c r="CK42" s="19">
        <v>9.0534762310601202E-4</v>
      </c>
      <c r="CL42" s="20">
        <v>1.4985333742892903E-3</v>
      </c>
      <c r="CM42" s="20">
        <v>5.4208465957727991E-3</v>
      </c>
      <c r="CN42" s="20">
        <v>5.2191438523763178E-4</v>
      </c>
      <c r="CS42" s="1">
        <v>34</v>
      </c>
      <c r="CT42" s="15">
        <v>4.1511504815673977E-2</v>
      </c>
      <c r="CU42" s="15">
        <v>0.61722888161054934</v>
      </c>
      <c r="CV42" s="15">
        <v>1.0540697767892862</v>
      </c>
      <c r="CW42" s="16">
        <v>0.70661280559241701</v>
      </c>
      <c r="CX42" s="16">
        <v>1.1145368573221275</v>
      </c>
      <c r="CY42" s="16">
        <v>8.805654947183443E-2</v>
      </c>
      <c r="CZ42" s="17">
        <v>0.94509264485095212</v>
      </c>
      <c r="DA42" s="17">
        <v>6.8672911744451226E-2</v>
      </c>
      <c r="DB42" s="17">
        <v>1.3453013412597119</v>
      </c>
      <c r="DC42" s="18">
        <v>0.53219877968814577</v>
      </c>
      <c r="DD42" s="18">
        <v>0.90712865613592919</v>
      </c>
      <c r="DE42" s="18">
        <v>0.46071313295686461</v>
      </c>
      <c r="DF42" s="19">
        <v>3.8257726082246979E-4</v>
      </c>
      <c r="DG42" s="19">
        <v>2.1877517445667571E-4</v>
      </c>
      <c r="DH42" s="19">
        <v>1.1788083025480178E-3</v>
      </c>
      <c r="DI42" s="20">
        <v>1.6447084627153608E-3</v>
      </c>
      <c r="DJ42" s="20">
        <v>1.5291119314350121E-3</v>
      </c>
      <c r="DK42" s="20">
        <v>3.5933573846758105E-3</v>
      </c>
    </row>
    <row r="43" spans="6:115" ht="15.75" x14ac:dyDescent="0.25">
      <c r="F43" s="1">
        <v>35</v>
      </c>
      <c r="G43" s="15">
        <v>3.5982784968981531E-2</v>
      </c>
      <c r="H43" s="15">
        <v>0.10557948568682252</v>
      </c>
      <c r="I43" s="15">
        <v>6.2125054031186205E-2</v>
      </c>
      <c r="J43" s="16">
        <v>0.19807741988530977</v>
      </c>
      <c r="K43" s="16">
        <v>7.4938645020235214E-2</v>
      </c>
      <c r="L43" s="16">
        <v>0.77690588450281206</v>
      </c>
      <c r="M43" s="17">
        <v>0.91090963630329724</v>
      </c>
      <c r="N43" s="17">
        <v>0.64012213840908672</v>
      </c>
      <c r="O43" s="17">
        <v>0.86170364488793383</v>
      </c>
      <c r="P43" s="18">
        <v>0.29985654140820728</v>
      </c>
      <c r="Q43" s="18">
        <v>0.87982904739007595</v>
      </c>
      <c r="R43" s="18">
        <v>0.47788503100913732</v>
      </c>
      <c r="S43" s="19">
        <v>3.165346097590005E-4</v>
      </c>
      <c r="T43" s="19">
        <v>9.300814492545495E-4</v>
      </c>
      <c r="U43" s="19">
        <v>5.4015240010096843E-4</v>
      </c>
      <c r="V43" s="20">
        <v>4.6663411861369575E-4</v>
      </c>
      <c r="W43" s="20">
        <v>6.1596296816834883E-4</v>
      </c>
      <c r="X43" s="20">
        <v>3.2323121968066415E-3</v>
      </c>
      <c r="AC43" s="1">
        <v>35</v>
      </c>
      <c r="AD43" s="15">
        <v>1.7552933220447996E-2</v>
      </c>
      <c r="AE43" s="15">
        <v>0.64245775528397142</v>
      </c>
      <c r="AF43" s="15">
        <v>1.323595525599105</v>
      </c>
      <c r="AG43" s="16">
        <v>4.3423595073548607E-2</v>
      </c>
      <c r="AH43" s="16">
        <v>0.33213894401324467</v>
      </c>
      <c r="AI43" s="16">
        <v>0.63847441751103429</v>
      </c>
      <c r="AJ43" s="17">
        <v>1.1063490898729471</v>
      </c>
      <c r="AK43" s="17">
        <v>0.69613760114170675</v>
      </c>
      <c r="AL43" s="17">
        <v>0.80698671467521321</v>
      </c>
      <c r="AM43" s="18">
        <v>0.15131838983157828</v>
      </c>
      <c r="AN43" s="18">
        <v>0.30864753690727054</v>
      </c>
      <c r="AO43" s="18">
        <v>9.8274680583188001E-3</v>
      </c>
      <c r="AP43" s="19">
        <v>1.5519517097373206E-4</v>
      </c>
      <c r="AQ43" s="19">
        <v>1.1104160932488003E-3</v>
      </c>
      <c r="AR43" s="19">
        <v>1.7567015143974405E-3</v>
      </c>
      <c r="AS43" s="20">
        <v>6.6812562195317518E-5</v>
      </c>
      <c r="AT43" s="20">
        <v>3.0713984332401134E-3</v>
      </c>
      <c r="AU43" s="20">
        <v>2.5996383950018798E-3</v>
      </c>
      <c r="AZ43" s="1">
        <v>35</v>
      </c>
      <c r="BA43" s="15">
        <v>6.0878739852307635E-2</v>
      </c>
      <c r="BB43" s="15">
        <v>0.76651502378094061</v>
      </c>
      <c r="BC43" s="15">
        <v>1.1416590562143889</v>
      </c>
      <c r="BD43" s="16">
        <v>1.0600172230508402</v>
      </c>
      <c r="BE43" s="16">
        <v>1.629879537128329</v>
      </c>
      <c r="BF43" s="16">
        <v>0.33000547073105374</v>
      </c>
      <c r="BG43" s="17">
        <v>0.27364742820068011</v>
      </c>
      <c r="BH43" s="17">
        <v>6.8105845705550103E-2</v>
      </c>
      <c r="BI43" s="17">
        <v>1.2945939327727953</v>
      </c>
      <c r="BJ43" s="18">
        <v>0.64764616864145452</v>
      </c>
      <c r="BK43" s="18">
        <v>1.6176950972936619</v>
      </c>
      <c r="BL43" s="18">
        <v>0.85593596587974619</v>
      </c>
      <c r="BM43" s="19">
        <v>5.5122580373867514E-4</v>
      </c>
      <c r="BN43" s="19">
        <v>7.8913450214845849E-4</v>
      </c>
      <c r="BO43" s="19">
        <v>1.9196309111322307E-3</v>
      </c>
      <c r="BP43" s="20">
        <v>2.470711051983931E-3</v>
      </c>
      <c r="BQ43" s="20">
        <v>2.7962227025151169E-3</v>
      </c>
      <c r="BR43" s="20">
        <v>3.1091537528346036E-3</v>
      </c>
      <c r="BV43" s="1">
        <v>35</v>
      </c>
      <c r="BW43" s="15">
        <v>2.8205645796983946E-2</v>
      </c>
      <c r="BX43" s="15">
        <v>0.42294268820083231</v>
      </c>
      <c r="BY43" s="15">
        <v>0.74266334817642288</v>
      </c>
      <c r="BZ43" s="16">
        <v>0.56379459264035459</v>
      </c>
      <c r="CA43" s="16">
        <v>1.2565703326752959</v>
      </c>
      <c r="CB43" s="16">
        <v>0.87225388757196876</v>
      </c>
      <c r="CC43" s="17">
        <v>0.86750720385429103</v>
      </c>
      <c r="CD43" s="17">
        <v>0.85353480142624627</v>
      </c>
      <c r="CE43" s="17">
        <v>0.17981113721098604</v>
      </c>
      <c r="CF43" s="18">
        <v>0.34821784934549815</v>
      </c>
      <c r="CG43" s="18">
        <v>0.43386664173191131</v>
      </c>
      <c r="CH43" s="18">
        <v>0.16659980654982706</v>
      </c>
      <c r="CI43" s="19">
        <v>2.5913679366817988E-4</v>
      </c>
      <c r="CJ43" s="19">
        <v>9.2150955389724842E-6</v>
      </c>
      <c r="CK43" s="19">
        <v>8.8858445112049989E-4</v>
      </c>
      <c r="CL43" s="20">
        <v>1.5897602671187672E-3</v>
      </c>
      <c r="CM43" s="20">
        <v>5.4020551640940884E-3</v>
      </c>
      <c r="CN43" s="20">
        <v>4.9632933369714305E-4</v>
      </c>
      <c r="CS43" s="1">
        <v>35</v>
      </c>
      <c r="CT43" s="15">
        <v>3.993792745127784E-2</v>
      </c>
      <c r="CU43" s="15">
        <v>0.61770827529330641</v>
      </c>
      <c r="CV43" s="15">
        <v>1.0524352012687626</v>
      </c>
      <c r="CW43" s="16">
        <v>0.69833297722232102</v>
      </c>
      <c r="CX43" s="16">
        <v>1.1199123878971091</v>
      </c>
      <c r="CY43" s="16">
        <v>8.7224771435573042E-2</v>
      </c>
      <c r="CZ43" s="17">
        <v>0.91219257813132326</v>
      </c>
      <c r="DA43" s="17">
        <v>8.0757992426904027E-2</v>
      </c>
      <c r="DB43" s="17">
        <v>1.3312829613132939</v>
      </c>
      <c r="DC43" s="18">
        <v>0.51202471091383639</v>
      </c>
      <c r="DD43" s="18">
        <v>0.91352057190607372</v>
      </c>
      <c r="DE43" s="18">
        <v>0.48194138647008611</v>
      </c>
      <c r="DF43" s="19">
        <v>3.6808068730298515E-4</v>
      </c>
      <c r="DG43" s="19">
        <v>2.2323818319081035E-4</v>
      </c>
      <c r="DH43" s="19">
        <v>1.1940364322883257E-3</v>
      </c>
      <c r="DI43" s="20">
        <v>1.628144352319616E-3</v>
      </c>
      <c r="DJ43" s="20">
        <v>1.5441804093763167E-3</v>
      </c>
      <c r="DK43" s="20">
        <v>3.5903216154361539E-3</v>
      </c>
    </row>
    <row r="44" spans="6:115" ht="15.75" x14ac:dyDescent="0.25">
      <c r="F44" s="1">
        <v>36</v>
      </c>
      <c r="G44" s="15">
        <v>5.0743205225448042E-2</v>
      </c>
      <c r="H44" s="15">
        <v>0.10335311001343264</v>
      </c>
      <c r="I44" s="15">
        <v>5.0705895644180141E-2</v>
      </c>
      <c r="J44" s="16">
        <v>0.1333775592288019</v>
      </c>
      <c r="K44" s="16">
        <v>8.9141837824541797E-2</v>
      </c>
      <c r="L44" s="16">
        <v>0.69643220707034625</v>
      </c>
      <c r="M44" s="17">
        <v>0.93465445032429439</v>
      </c>
      <c r="N44" s="17">
        <v>0.5950584611761065</v>
      </c>
      <c r="O44" s="17">
        <v>0.81659088294684246</v>
      </c>
      <c r="P44" s="18">
        <v>0.42286004354542817</v>
      </c>
      <c r="Q44" s="18">
        <v>0.8612759167784938</v>
      </c>
      <c r="R44" s="18">
        <v>0.39004535110909067</v>
      </c>
      <c r="S44" s="19">
        <v>4.463137320909194E-4</v>
      </c>
      <c r="T44" s="19">
        <v>9.1044834479758762E-4</v>
      </c>
      <c r="U44" s="19">
        <v>4.4091772082499592E-4</v>
      </c>
      <c r="V44" s="20">
        <v>2.3785834516587556E-4</v>
      </c>
      <c r="W44" s="20">
        <v>6.5679971228382872E-4</v>
      </c>
      <c r="X44" s="20">
        <v>2.8774166725282768E-3</v>
      </c>
      <c r="AC44" s="1">
        <v>36</v>
      </c>
      <c r="AD44" s="15">
        <v>2.302057579532666E-2</v>
      </c>
      <c r="AE44" s="15">
        <v>0.6418342799133957</v>
      </c>
      <c r="AF44" s="15">
        <v>1.3148100366950757</v>
      </c>
      <c r="AG44" s="16">
        <v>2.4882769835032958E-2</v>
      </c>
      <c r="AH44" s="16">
        <v>0.31190064260022954</v>
      </c>
      <c r="AI44" s="16">
        <v>0.68353367397428211</v>
      </c>
      <c r="AJ44" s="17">
        <v>1.0508051722389842</v>
      </c>
      <c r="AK44" s="17">
        <v>0.70772797072848337</v>
      </c>
      <c r="AL44" s="17">
        <v>0.75142365535727962</v>
      </c>
      <c r="AM44" s="18">
        <v>0.19845323961499342</v>
      </c>
      <c r="AN44" s="18">
        <v>0.31402232458458945</v>
      </c>
      <c r="AO44" s="18">
        <v>7.7408151935562414E-2</v>
      </c>
      <c r="AP44" s="19">
        <v>2.0354874812478219E-4</v>
      </c>
      <c r="AQ44" s="19">
        <v>1.1159562509853727E-3</v>
      </c>
      <c r="AR44" s="19">
        <v>1.8339972248041514E-3</v>
      </c>
      <c r="AS44" s="20">
        <v>4.8095312902285423E-6</v>
      </c>
      <c r="AT44" s="20">
        <v>3.0057069086351085E-3</v>
      </c>
      <c r="AU44" s="20">
        <v>2.395596404736744E-3</v>
      </c>
      <c r="AZ44" s="1">
        <v>36</v>
      </c>
      <c r="BA44" s="15">
        <v>7.3281789391005894E-2</v>
      </c>
      <c r="BB44" s="15">
        <v>0.75645181898178904</v>
      </c>
      <c r="BC44" s="15">
        <v>1.1368865384928646</v>
      </c>
      <c r="BD44" s="16">
        <v>0.92466718219169997</v>
      </c>
      <c r="BE44" s="16">
        <v>1.6268954338082235</v>
      </c>
      <c r="BF44" s="16">
        <v>6.0517884390041535E-2</v>
      </c>
      <c r="BG44" s="17">
        <v>0.58534340020711895</v>
      </c>
      <c r="BH44" s="17">
        <v>8.3960115626669315E-2</v>
      </c>
      <c r="BI44" s="17">
        <v>1.3830730640035684</v>
      </c>
      <c r="BJ44" s="18">
        <v>0.77959350415965267</v>
      </c>
      <c r="BK44" s="18">
        <v>1.5083124364332587</v>
      </c>
      <c r="BL44" s="18">
        <v>0.90617299452731337</v>
      </c>
      <c r="BM44" s="19">
        <v>6.6344682617647255E-4</v>
      </c>
      <c r="BN44" s="19">
        <v>6.9698411708707386E-4</v>
      </c>
      <c r="BO44" s="19">
        <v>1.9632262108808525E-3</v>
      </c>
      <c r="BP44" s="20">
        <v>2.1049114399601661E-3</v>
      </c>
      <c r="BQ44" s="20">
        <v>2.8188901327060867E-3</v>
      </c>
      <c r="BR44" s="20">
        <v>4.11850328479757E-3</v>
      </c>
      <c r="BV44" s="1">
        <v>36</v>
      </c>
      <c r="BW44" s="15">
        <v>1.7191464241489547E-2</v>
      </c>
      <c r="BX44" s="15">
        <v>0.42203545895721073</v>
      </c>
      <c r="BY44" s="15">
        <v>0.73103473451648948</v>
      </c>
      <c r="BZ44" s="16">
        <v>0.48892341393675148</v>
      </c>
      <c r="CA44" s="16">
        <v>1.2247571214594286</v>
      </c>
      <c r="CB44" s="16">
        <v>1.0470636288879394</v>
      </c>
      <c r="CC44" s="17">
        <v>0.90508025107226453</v>
      </c>
      <c r="CD44" s="17">
        <v>0.88104788088297981</v>
      </c>
      <c r="CE44" s="17">
        <v>0.24404030393188272</v>
      </c>
      <c r="CF44" s="18">
        <v>0.2122402992776144</v>
      </c>
      <c r="CG44" s="18">
        <v>0.42306629359358205</v>
      </c>
      <c r="CH44" s="18">
        <v>0.28648242160070025</v>
      </c>
      <c r="CI44" s="19">
        <v>1.5796240032972531E-4</v>
      </c>
      <c r="CJ44" s="19">
        <v>8.6957099254547643E-7</v>
      </c>
      <c r="CK44" s="19">
        <v>9.9426002758662424E-4</v>
      </c>
      <c r="CL44" s="20">
        <v>1.3592858823173737E-3</v>
      </c>
      <c r="CM44" s="20">
        <v>5.2970073731032352E-3</v>
      </c>
      <c r="CN44" s="20">
        <v>1.2111621859233201E-3</v>
      </c>
      <c r="CS44" s="1">
        <v>36</v>
      </c>
      <c r="CT44" s="15">
        <v>4.1411167920569689E-2</v>
      </c>
      <c r="CU44" s="15">
        <v>0.61755659135380603</v>
      </c>
      <c r="CV44" s="15">
        <v>1.0533851140834838</v>
      </c>
      <c r="CW44" s="16">
        <v>0.68920475508987777</v>
      </c>
      <c r="CX44" s="16">
        <v>1.1107130021280296</v>
      </c>
      <c r="CY44" s="16">
        <v>7.2827073463934716E-2</v>
      </c>
      <c r="CZ44" s="17">
        <v>0.9127151920190727</v>
      </c>
      <c r="DA44" s="17">
        <v>7.4231168205450435E-2</v>
      </c>
      <c r="DB44" s="17">
        <v>1.3230522430443126</v>
      </c>
      <c r="DC44" s="18">
        <v>0.53091240923801908</v>
      </c>
      <c r="DD44" s="18">
        <v>0.91149811937956371</v>
      </c>
      <c r="DE44" s="18">
        <v>0.46960485640887795</v>
      </c>
      <c r="DF44" s="19">
        <v>3.8165292129554995E-4</v>
      </c>
      <c r="DG44" s="19">
        <v>2.2182604739628964E-4</v>
      </c>
      <c r="DH44" s="19">
        <v>1.1851868592283044E-3</v>
      </c>
      <c r="DI44" s="20">
        <v>1.6018949948181094E-3</v>
      </c>
      <c r="DJ44" s="20">
        <v>1.5163463862479798E-3</v>
      </c>
      <c r="DK44" s="20">
        <v>3.6472593629794936E-3</v>
      </c>
    </row>
    <row r="45" spans="6:115" ht="15.75" x14ac:dyDescent="0.25">
      <c r="F45" s="1">
        <v>37</v>
      </c>
      <c r="G45" s="15">
        <v>3.1692235006018261E-2</v>
      </c>
      <c r="H45" s="15">
        <v>0.10622656509313511</v>
      </c>
      <c r="I45" s="15">
        <v>6.7388585050509847E-2</v>
      </c>
      <c r="J45" s="16">
        <v>9.67291652022816E-2</v>
      </c>
      <c r="K45" s="16">
        <v>1.6071044768399918E-3</v>
      </c>
      <c r="L45" s="16">
        <v>0.83448140005521299</v>
      </c>
      <c r="M45" s="17">
        <v>0.91388501093424002</v>
      </c>
      <c r="N45" s="17">
        <v>0.64439189381699147</v>
      </c>
      <c r="O45" s="17">
        <v>0.87365470993246308</v>
      </c>
      <c r="P45" s="18">
        <v>0.26410195838344386</v>
      </c>
      <c r="Q45" s="18">
        <v>0.88522137577612559</v>
      </c>
      <c r="R45" s="18">
        <v>0.51837373115780605</v>
      </c>
      <c r="S45" s="19">
        <v>2.7880330905305506E-4</v>
      </c>
      <c r="T45" s="19">
        <v>9.3578782808589889E-4</v>
      </c>
      <c r="U45" s="19">
        <v>5.858858697418422E-4</v>
      </c>
      <c r="V45" s="20">
        <v>1.8724212946652496E-4</v>
      </c>
      <c r="W45" s="20">
        <v>3.6800569289663354E-4</v>
      </c>
      <c r="X45" s="20">
        <v>3.4752141488102462E-3</v>
      </c>
      <c r="AC45" s="1">
        <v>37</v>
      </c>
      <c r="AD45" s="15">
        <v>1.8755727217087407E-2</v>
      </c>
      <c r="AE45" s="15">
        <v>0.64115310166799422</v>
      </c>
      <c r="AF45" s="15">
        <v>1.3169309087122447</v>
      </c>
      <c r="AG45" s="16">
        <v>1.7158705621650696E-2</v>
      </c>
      <c r="AH45" s="16">
        <v>0.3169961951703425</v>
      </c>
      <c r="AI45" s="16">
        <v>0.68649077077797993</v>
      </c>
      <c r="AJ45" s="17">
        <v>1.0557164348318444</v>
      </c>
      <c r="AK45" s="17">
        <v>0.69698151141375775</v>
      </c>
      <c r="AL45" s="17">
        <v>0.74111869500156935</v>
      </c>
      <c r="AM45" s="18">
        <v>0.16168730359577613</v>
      </c>
      <c r="AN45" s="18">
        <v>0.31989455083806506</v>
      </c>
      <c r="AO45" s="18">
        <v>6.1093751803417487E-2</v>
      </c>
      <c r="AP45" s="19">
        <v>1.6583173154649522E-4</v>
      </c>
      <c r="AQ45" s="19">
        <v>1.122009072878849E-3</v>
      </c>
      <c r="AR45" s="19">
        <v>1.8153388166446405E-3</v>
      </c>
      <c r="AS45" s="20">
        <v>4.124493147461549E-6</v>
      </c>
      <c r="AT45" s="20">
        <v>3.0195828212836728E-3</v>
      </c>
      <c r="AU45" s="20">
        <v>2.3924818077316612E-3</v>
      </c>
      <c r="AZ45" s="1">
        <v>37</v>
      </c>
      <c r="BA45" s="15">
        <v>7.1403161630823178E-2</v>
      </c>
      <c r="BB45" s="15">
        <v>0.75897968635314239</v>
      </c>
      <c r="BC45" s="15">
        <v>1.1387609112393016</v>
      </c>
      <c r="BD45" s="16">
        <v>1.0343108303178381</v>
      </c>
      <c r="BE45" s="16">
        <v>1.6318594090952094</v>
      </c>
      <c r="BF45" s="16">
        <v>0.31199198829404573</v>
      </c>
      <c r="BG45" s="17">
        <v>0.41285124550198454</v>
      </c>
      <c r="BH45" s="17">
        <v>2.3338864403214553E-2</v>
      </c>
      <c r="BI45" s="17">
        <v>1.2681942934150729</v>
      </c>
      <c r="BJ45" s="18">
        <v>0.75960810245547894</v>
      </c>
      <c r="BK45" s="18">
        <v>1.5357892556872195</v>
      </c>
      <c r="BL45" s="18">
        <v>0.88644275509124926</v>
      </c>
      <c r="BM45" s="19">
        <v>6.4645105788130319E-4</v>
      </c>
      <c r="BN45" s="19">
        <v>7.2013044759977607E-4</v>
      </c>
      <c r="BO45" s="19">
        <v>1.9461049656545049E-3</v>
      </c>
      <c r="BP45" s="20">
        <v>2.380820898819747E-3</v>
      </c>
      <c r="BQ45" s="20">
        <v>2.8268604666729091E-3</v>
      </c>
      <c r="BR45" s="20">
        <v>3.166766121379228E-3</v>
      </c>
      <c r="BV45" s="1">
        <v>37</v>
      </c>
      <c r="BW45" s="15">
        <v>2.1256408993806947E-2</v>
      </c>
      <c r="BX45" s="15">
        <v>0.42258769135944058</v>
      </c>
      <c r="BY45" s="15">
        <v>0.73361292961400393</v>
      </c>
      <c r="BZ45" s="16">
        <v>0.51998189668489536</v>
      </c>
      <c r="CA45" s="16">
        <v>1.2344940130035098</v>
      </c>
      <c r="CB45" s="16">
        <v>0.95927597449961444</v>
      </c>
      <c r="CC45" s="17">
        <v>0.87447826764403047</v>
      </c>
      <c r="CD45" s="17">
        <v>0.86983795227504357</v>
      </c>
      <c r="CE45" s="17">
        <v>0.20524361636923383</v>
      </c>
      <c r="CF45" s="18">
        <v>0.26242480239257526</v>
      </c>
      <c r="CG45" s="18">
        <v>0.42964048885833306</v>
      </c>
      <c r="CH45" s="18">
        <v>0.2599030906983622</v>
      </c>
      <c r="CI45" s="19">
        <v>1.9530488384822409E-4</v>
      </c>
      <c r="CJ45" s="19">
        <v>5.9494917187263852E-6</v>
      </c>
      <c r="CK45" s="19">
        <v>9.7083269387021609E-4</v>
      </c>
      <c r="CL45" s="20">
        <v>1.4535531237754862E-3</v>
      </c>
      <c r="CM45" s="20">
        <v>5.3300553499401326E-3</v>
      </c>
      <c r="CN45" s="20">
        <v>8.6454466883800762E-4</v>
      </c>
      <c r="CS45" s="1">
        <v>37</v>
      </c>
      <c r="CT45" s="15">
        <v>3.8202809006836369E-2</v>
      </c>
      <c r="CU45" s="15">
        <v>0.61833679538533881</v>
      </c>
      <c r="CV45" s="15">
        <v>1.0507268358572506</v>
      </c>
      <c r="CW45" s="16">
        <v>0.70782978209944991</v>
      </c>
      <c r="CX45" s="16">
        <v>1.1122435309314653</v>
      </c>
      <c r="CY45" s="16">
        <v>9.0761357127727177E-2</v>
      </c>
      <c r="CZ45" s="17">
        <v>0.89971615286536544</v>
      </c>
      <c r="DA45" s="17">
        <v>8.0944666689943712E-2</v>
      </c>
      <c r="DB45" s="17">
        <v>1.3177492700345794</v>
      </c>
      <c r="DC45" s="18">
        <v>0.48977960265189169</v>
      </c>
      <c r="DD45" s="18">
        <v>0.92190083979970161</v>
      </c>
      <c r="DE45" s="18">
        <v>0.50412795025593737</v>
      </c>
      <c r="DF45" s="19">
        <v>3.5209538871416868E-4</v>
      </c>
      <c r="DG45" s="19">
        <v>2.2908957846901057E-4</v>
      </c>
      <c r="DH45" s="19">
        <v>1.2099514701044978E-3</v>
      </c>
      <c r="DI45" s="20">
        <v>1.6559587955836674E-3</v>
      </c>
      <c r="DJ45" s="20">
        <v>1.5186663738854245E-3</v>
      </c>
      <c r="DK45" s="20">
        <v>3.5708126263606088E-3</v>
      </c>
    </row>
    <row r="46" spans="6:115" ht="15.75" x14ac:dyDescent="0.25">
      <c r="F46" s="1">
        <v>38</v>
      </c>
      <c r="G46" s="15">
        <v>5.2811844755310935E-2</v>
      </c>
      <c r="H46" s="15">
        <v>0.10333485682407302</v>
      </c>
      <c r="I46" s="15">
        <v>4.8118949600052925E-2</v>
      </c>
      <c r="J46" s="16">
        <v>0.13825941675336481</v>
      </c>
      <c r="K46" s="16">
        <v>0.10127441395571138</v>
      </c>
      <c r="L46" s="16">
        <v>0.68396890845439839</v>
      </c>
      <c r="M46" s="17">
        <v>0.95085344010644346</v>
      </c>
      <c r="N46" s="17">
        <v>0.59081480551643895</v>
      </c>
      <c r="O46" s="17">
        <v>0.82957061248588537</v>
      </c>
      <c r="P46" s="18">
        <v>0.44009870629427172</v>
      </c>
      <c r="Q46" s="18">
        <v>0.86112380686738599</v>
      </c>
      <c r="R46" s="18">
        <v>0.37014576615430395</v>
      </c>
      <c r="S46" s="19">
        <v>4.6449892339639476E-4</v>
      </c>
      <c r="T46" s="19">
        <v>9.1028738421694566E-4</v>
      </c>
      <c r="U46" s="19">
        <v>4.1843351570791665E-4</v>
      </c>
      <c r="V46" s="20">
        <v>2.4595067087762601E-4</v>
      </c>
      <c r="W46" s="20">
        <v>6.9811704604616498E-4</v>
      </c>
      <c r="X46" s="20">
        <v>2.8193327232357568E-3</v>
      </c>
      <c r="AC46" s="1">
        <v>38</v>
      </c>
      <c r="AD46" s="15">
        <v>2.1753838339525013E-2</v>
      </c>
      <c r="AE46" s="15">
        <v>0.64556776152713047</v>
      </c>
      <c r="AF46" s="15">
        <v>1.3243207135830191</v>
      </c>
      <c r="AG46" s="16">
        <v>8.2326113831904912E-2</v>
      </c>
      <c r="AH46" s="16">
        <v>0.31524357259794017</v>
      </c>
      <c r="AI46" s="16">
        <v>0.62267011231657865</v>
      </c>
      <c r="AJ46" s="17">
        <v>1.0252493815841974</v>
      </c>
      <c r="AK46" s="17">
        <v>0.7098225942038231</v>
      </c>
      <c r="AL46" s="17">
        <v>0.73747505947028724</v>
      </c>
      <c r="AM46" s="18">
        <v>0.18753308913403136</v>
      </c>
      <c r="AN46" s="18">
        <v>0.28183713825934714</v>
      </c>
      <c r="AO46" s="18">
        <v>4.2490989512681552E-3</v>
      </c>
      <c r="AP46" s="19">
        <v>1.9234577351023849E-4</v>
      </c>
      <c r="AQ46" s="19">
        <v>1.0827797608164989E-3</v>
      </c>
      <c r="AR46" s="19">
        <v>1.7503206147498893E-3</v>
      </c>
      <c r="AS46" s="20">
        <v>1.5643634751172364E-4</v>
      </c>
      <c r="AT46" s="20">
        <v>3.0280972666804069E-3</v>
      </c>
      <c r="AU46" s="20">
        <v>2.6622138289784658E-3</v>
      </c>
      <c r="AZ46" s="1">
        <v>38</v>
      </c>
      <c r="BA46" s="15">
        <v>6.9405377382709271E-2</v>
      </c>
      <c r="BB46" s="15">
        <v>0.76008113136938782</v>
      </c>
      <c r="BC46" s="15">
        <v>1.1354026713894876</v>
      </c>
      <c r="BD46" s="16">
        <v>0.96832891198115489</v>
      </c>
      <c r="BE46" s="16">
        <v>1.5448411759898302</v>
      </c>
      <c r="BF46" s="16">
        <v>9.9609546240039273E-2</v>
      </c>
      <c r="BG46" s="17">
        <v>0.45112046717630883</v>
      </c>
      <c r="BH46" s="17">
        <v>6.0840315540896452E-2</v>
      </c>
      <c r="BI46" s="17">
        <v>1.2703255558121813</v>
      </c>
      <c r="BJ46" s="18">
        <v>0.73835507853938831</v>
      </c>
      <c r="BK46" s="18">
        <v>1.5477614841246297</v>
      </c>
      <c r="BL46" s="18">
        <v>0.92179264824708596</v>
      </c>
      <c r="BM46" s="19">
        <v>6.2837659194214801E-4</v>
      </c>
      <c r="BN46" s="19">
        <v>7.302161597835255E-4</v>
      </c>
      <c r="BO46" s="19">
        <v>1.9767799661984942E-3</v>
      </c>
      <c r="BP46" s="20">
        <v>2.2225853719468613E-3</v>
      </c>
      <c r="BQ46" s="20">
        <v>2.5412151411563499E-3</v>
      </c>
      <c r="BR46" s="20">
        <v>3.9638509821009471E-3</v>
      </c>
      <c r="BV46" s="1">
        <v>38</v>
      </c>
      <c r="BW46" s="15">
        <v>2.1010805051487585E-2</v>
      </c>
      <c r="BX46" s="15">
        <v>0.42278777258371392</v>
      </c>
      <c r="BY46" s="15">
        <v>0.73262240855992922</v>
      </c>
      <c r="BZ46" s="16">
        <v>0.51556874102112427</v>
      </c>
      <c r="CA46" s="16">
        <v>1.2371412004940181</v>
      </c>
      <c r="CB46" s="16">
        <v>0.94846493580760505</v>
      </c>
      <c r="CC46" s="17">
        <v>0.85456671468759748</v>
      </c>
      <c r="CD46" s="17">
        <v>0.87251620335280289</v>
      </c>
      <c r="CE46" s="17">
        <v>0.19074777132856149</v>
      </c>
      <c r="CF46" s="18">
        <v>0.25939265495660263</v>
      </c>
      <c r="CG46" s="18">
        <v>0.43202240819480986</v>
      </c>
      <c r="CH46" s="18">
        <v>0.27011464795699208</v>
      </c>
      <c r="CI46" s="19">
        <v>1.9304873732928218E-4</v>
      </c>
      <c r="CJ46" s="19">
        <v>7.7900292043686648E-6</v>
      </c>
      <c r="CK46" s="19">
        <v>9.7983342405250085E-4</v>
      </c>
      <c r="CL46" s="20">
        <v>1.4410458062680265E-3</v>
      </c>
      <c r="CM46" s="20">
        <v>5.3392030063376117E-3</v>
      </c>
      <c r="CN46" s="20">
        <v>8.2687964716554596E-4</v>
      </c>
      <c r="CS46" s="1">
        <v>38</v>
      </c>
      <c r="CT46" s="15">
        <v>4.3995272872320683E-2</v>
      </c>
      <c r="CU46" s="15">
        <v>0.61803323047529113</v>
      </c>
      <c r="CV46" s="15">
        <v>1.0590441632266836</v>
      </c>
      <c r="CW46" s="16">
        <v>0.70262349150434533</v>
      </c>
      <c r="CX46" s="16">
        <v>1.0867565938758668</v>
      </c>
      <c r="CY46" s="16">
        <v>3.9400904842682147E-2</v>
      </c>
      <c r="CZ46" s="17">
        <v>0.94746140157715464</v>
      </c>
      <c r="DA46" s="17">
        <v>6.3007937146842385E-2</v>
      </c>
      <c r="DB46" s="17">
        <v>1.3449225391696304</v>
      </c>
      <c r="DC46" s="18">
        <v>0.56404195990145767</v>
      </c>
      <c r="DD46" s="18">
        <v>0.91785330766589435</v>
      </c>
      <c r="DE46" s="18">
        <v>0.3961107116919253</v>
      </c>
      <c r="DF46" s="19">
        <v>4.054580335146607E-4</v>
      </c>
      <c r="DG46" s="19">
        <v>2.2626344114762276E-4</v>
      </c>
      <c r="DH46" s="19">
        <v>1.1324625320335846E-3</v>
      </c>
      <c r="DI46" s="20">
        <v>1.6286550878634731E-3</v>
      </c>
      <c r="DJ46" s="20">
        <v>1.4411968582576096E-3</v>
      </c>
      <c r="DK46" s="20">
        <v>3.7923630136208475E-3</v>
      </c>
    </row>
    <row r="47" spans="6:115" ht="15.75" x14ac:dyDescent="0.25">
      <c r="F47" s="1">
        <v>39</v>
      </c>
      <c r="G47" s="15">
        <v>6.1424816952294348E-2</v>
      </c>
      <c r="H47" s="15">
        <v>0.10218264803986271</v>
      </c>
      <c r="I47" s="15">
        <v>3.6026377353576208E-2</v>
      </c>
      <c r="J47" s="16">
        <v>0.10652601103423838</v>
      </c>
      <c r="K47" s="16">
        <v>0.12164478853454827</v>
      </c>
      <c r="L47" s="16">
        <v>0.60960940713892475</v>
      </c>
      <c r="M47" s="17">
        <v>1.022163304306722</v>
      </c>
      <c r="N47" s="17">
        <v>0.56144940045115377</v>
      </c>
      <c r="O47" s="17">
        <v>0.85854331180078991</v>
      </c>
      <c r="P47" s="18">
        <v>0.51187347460245303</v>
      </c>
      <c r="Q47" s="18">
        <v>0.85152206699883704</v>
      </c>
      <c r="R47" s="18">
        <v>0.27712597964284313</v>
      </c>
      <c r="S47" s="19">
        <v>5.4020656828446267E-4</v>
      </c>
      <c r="T47" s="19">
        <v>9.0012707643316581E-4</v>
      </c>
      <c r="U47" s="19">
        <v>3.1331660635325331E-4</v>
      </c>
      <c r="V47" s="20">
        <v>1.2980935623307932E-4</v>
      </c>
      <c r="W47" s="20">
        <v>7.6365011580514786E-4</v>
      </c>
      <c r="X47" s="20">
        <v>2.4857129176030224E-3</v>
      </c>
      <c r="AC47" s="1">
        <v>39</v>
      </c>
      <c r="AD47" s="15">
        <v>1.5852230126367887E-2</v>
      </c>
      <c r="AE47" s="15">
        <v>0.63770693102607967</v>
      </c>
      <c r="AF47" s="15">
        <v>1.3246318632360408</v>
      </c>
      <c r="AG47" s="16">
        <v>4.3626523417339851E-2</v>
      </c>
      <c r="AH47" s="16">
        <v>0.30916773322026486</v>
      </c>
      <c r="AI47" s="16">
        <v>0.68670492582738107</v>
      </c>
      <c r="AJ47" s="17">
        <v>1.2282605458881113</v>
      </c>
      <c r="AK47" s="17">
        <v>0.72562868002246128</v>
      </c>
      <c r="AL47" s="17">
        <v>0.99400871705157423</v>
      </c>
      <c r="AM47" s="18">
        <v>0.13665715626196548</v>
      </c>
      <c r="AN47" s="18">
        <v>0.3496029184407618</v>
      </c>
      <c r="AO47" s="18">
        <v>1.8556400820041463E-3</v>
      </c>
      <c r="AP47" s="19">
        <v>1.4015593215821467E-4</v>
      </c>
      <c r="AQ47" s="19">
        <v>1.1526298256688827E-3</v>
      </c>
      <c r="AR47" s="19">
        <v>1.7475827928234988E-3</v>
      </c>
      <c r="AS47" s="20">
        <v>7.1727540707833284E-5</v>
      </c>
      <c r="AT47" s="20">
        <v>2.9839864911499481E-3</v>
      </c>
      <c r="AU47" s="20">
        <v>2.4210147366677814E-3</v>
      </c>
      <c r="AZ47" s="1">
        <v>39</v>
      </c>
      <c r="BA47" s="15">
        <v>5.1494705184327479E-2</v>
      </c>
      <c r="BB47" s="15">
        <v>0.75903224007661263</v>
      </c>
      <c r="BC47" s="15">
        <v>1.1104049892789469</v>
      </c>
      <c r="BD47" s="16">
        <v>0.98252828288143224</v>
      </c>
      <c r="BE47" s="16">
        <v>1.7121948445057156</v>
      </c>
      <c r="BF47" s="16">
        <v>0.27061383923194515</v>
      </c>
      <c r="BG47" s="17">
        <v>0.42798144002324712</v>
      </c>
      <c r="BH47" s="17">
        <v>1.742853160392396E-2</v>
      </c>
      <c r="BI47" s="17">
        <v>1.3098230098215426</v>
      </c>
      <c r="BJ47" s="18">
        <v>0.54781601259909762</v>
      </c>
      <c r="BK47" s="18">
        <v>1.5363604918118763</v>
      </c>
      <c r="BL47" s="18">
        <v>1.1849261441476</v>
      </c>
      <c r="BM47" s="19">
        <v>4.6630190817686939E-4</v>
      </c>
      <c r="BN47" s="19">
        <v>7.2061166647063846E-4</v>
      </c>
      <c r="BO47" s="19">
        <v>2.2050495570528068E-3</v>
      </c>
      <c r="BP47" s="20">
        <v>2.3024297443755559E-3</v>
      </c>
      <c r="BQ47" s="20">
        <v>3.0871863604825522E-3</v>
      </c>
      <c r="BR47" s="20">
        <v>3.2155539425169355E-3</v>
      </c>
      <c r="BV47" s="1">
        <v>39</v>
      </c>
      <c r="BW47" s="15">
        <v>2.6069363493123335E-2</v>
      </c>
      <c r="BX47" s="15">
        <v>0.42350447649459366</v>
      </c>
      <c r="BY47" s="15">
        <v>0.74215943322658118</v>
      </c>
      <c r="BZ47" s="16">
        <v>0.54389013524816843</v>
      </c>
      <c r="CA47" s="16">
        <v>1.2455117935384508</v>
      </c>
      <c r="CB47" s="16">
        <v>0.90289316517223517</v>
      </c>
      <c r="CC47" s="17">
        <v>0.92156180144361088</v>
      </c>
      <c r="CD47" s="17">
        <v>0.86180018069067132</v>
      </c>
      <c r="CE47" s="17">
        <v>0.25497564177112986</v>
      </c>
      <c r="CF47" s="18">
        <v>0.32184399374224637</v>
      </c>
      <c r="CG47" s="18">
        <v>0.44055459761013405</v>
      </c>
      <c r="CH47" s="18">
        <v>0.17179480603273051</v>
      </c>
      <c r="CI47" s="19">
        <v>2.3951501046315382E-4</v>
      </c>
      <c r="CJ47" s="19">
        <v>1.4383014447005849E-5</v>
      </c>
      <c r="CK47" s="19">
        <v>8.9316431530173102E-4</v>
      </c>
      <c r="CL47" s="20">
        <v>1.5306084252306729E-3</v>
      </c>
      <c r="CM47" s="20">
        <v>5.3684024649652828E-3</v>
      </c>
      <c r="CN47" s="20">
        <v>6.1568216988416857E-4</v>
      </c>
      <c r="CS47" s="1">
        <v>39</v>
      </c>
      <c r="CT47" s="15">
        <v>3.9931044374894628E-2</v>
      </c>
      <c r="CU47" s="15">
        <v>0.61900947485559177</v>
      </c>
      <c r="CV47" s="15">
        <v>1.0568521504211699</v>
      </c>
      <c r="CW47" s="16">
        <v>0.71458957069538676</v>
      </c>
      <c r="CX47" s="16">
        <v>1.1203673635076434</v>
      </c>
      <c r="CY47" s="16">
        <v>9.6250506147089104E-2</v>
      </c>
      <c r="CZ47" s="17">
        <v>0.93643770022283879</v>
      </c>
      <c r="DA47" s="17">
        <v>7.5331749037756621E-2</v>
      </c>
      <c r="DB47" s="17">
        <v>1.3451947385611112</v>
      </c>
      <c r="DC47" s="18">
        <v>0.51193646634473122</v>
      </c>
      <c r="DD47" s="18">
        <v>0.93086989940319909</v>
      </c>
      <c r="DE47" s="18">
        <v>0.42457841046474287</v>
      </c>
      <c r="DF47" s="19">
        <v>3.6801727599478085E-4</v>
      </c>
      <c r="DG47" s="19">
        <v>2.3535217064629688E-4</v>
      </c>
      <c r="DH47" s="19">
        <v>1.1528858305746015E-3</v>
      </c>
      <c r="DI47" s="20">
        <v>1.6683774241393889E-3</v>
      </c>
      <c r="DJ47" s="20">
        <v>1.5415975076539246E-3</v>
      </c>
      <c r="DK47" s="20">
        <v>3.5733919331504271E-3</v>
      </c>
    </row>
    <row r="48" spans="6:115" ht="15.75" x14ac:dyDescent="0.25">
      <c r="F48" s="1">
        <v>40</v>
      </c>
      <c r="G48" s="15">
        <v>4.7190460294368679E-2</v>
      </c>
      <c r="H48" s="15">
        <v>0.10110614427224369</v>
      </c>
      <c r="I48" s="15">
        <v>5.6326575249482633E-2</v>
      </c>
      <c r="J48" s="16">
        <v>0.14975217600889384</v>
      </c>
      <c r="K48" s="16">
        <v>5.9311309231783689E-2</v>
      </c>
      <c r="L48" s="16">
        <v>0.77188586732216691</v>
      </c>
      <c r="M48" s="17">
        <v>0.97350206189076738</v>
      </c>
      <c r="N48" s="17">
        <v>0.61791498754664764</v>
      </c>
      <c r="O48" s="17">
        <v>0.89137476066571275</v>
      </c>
      <c r="P48" s="18">
        <v>0.39325383578635009</v>
      </c>
      <c r="Q48" s="18">
        <v>0.84255120226877123</v>
      </c>
      <c r="R48" s="18">
        <v>0.4332813480729179</v>
      </c>
      <c r="S48" s="19">
        <v>4.1508017234648253E-4</v>
      </c>
      <c r="T48" s="19">
        <v>8.9063455585469686E-4</v>
      </c>
      <c r="U48" s="19">
        <v>4.8976533662958843E-4</v>
      </c>
      <c r="V48" s="20">
        <v>2.9522624356881355E-4</v>
      </c>
      <c r="W48" s="20">
        <v>5.4737321093500946E-4</v>
      </c>
      <c r="X48" s="20">
        <v>3.1906618127921504E-3</v>
      </c>
      <c r="AC48" s="1">
        <v>40</v>
      </c>
      <c r="AD48" s="15">
        <v>1.6254770152238782E-2</v>
      </c>
      <c r="AE48" s="15">
        <v>0.63587383401295317</v>
      </c>
      <c r="AF48" s="15">
        <v>1.3174537918629778</v>
      </c>
      <c r="AG48" s="16">
        <v>2.9087382398962983E-2</v>
      </c>
      <c r="AH48" s="16">
        <v>0.30662701813138399</v>
      </c>
      <c r="AI48" s="16">
        <v>0.68988290675394714</v>
      </c>
      <c r="AJ48" s="17">
        <v>1.1787816011572181</v>
      </c>
      <c r="AK48" s="17">
        <v>0.69493318312581187</v>
      </c>
      <c r="AL48" s="17">
        <v>0.86563249432628586</v>
      </c>
      <c r="AM48" s="18">
        <v>0.14012732889876189</v>
      </c>
      <c r="AN48" s="18">
        <v>0.36540547889876401</v>
      </c>
      <c r="AO48" s="18">
        <v>5.7071573720835767E-2</v>
      </c>
      <c r="AP48" s="19">
        <v>1.4371552877490143E-4</v>
      </c>
      <c r="AQ48" s="19">
        <v>1.1689168393000937E-3</v>
      </c>
      <c r="AR48" s="19">
        <v>1.810738619867136E-3</v>
      </c>
      <c r="AS48" s="20">
        <v>3.314071805338159E-5</v>
      </c>
      <c r="AT48" s="20">
        <v>2.9701630624821007E-3</v>
      </c>
      <c r="AU48" s="20">
        <v>2.3816312063366096E-3</v>
      </c>
      <c r="AZ48" s="1">
        <v>40</v>
      </c>
      <c r="BA48" s="15">
        <v>6.9552585218375179E-2</v>
      </c>
      <c r="BB48" s="15">
        <v>0.76045196807995441</v>
      </c>
      <c r="BC48" s="15">
        <v>1.1401942160131824</v>
      </c>
      <c r="BD48" s="16">
        <v>0.94868440169827561</v>
      </c>
      <c r="BE48" s="16">
        <v>1.640251110375843</v>
      </c>
      <c r="BF48" s="16">
        <v>0.1029607179318011</v>
      </c>
      <c r="BG48" s="17">
        <v>0.53466265675828695</v>
      </c>
      <c r="BH48" s="17">
        <v>0.10281869836590933</v>
      </c>
      <c r="BI48" s="17">
        <v>1.2797597013981441</v>
      </c>
      <c r="BJ48" s="18">
        <v>0.73992111934440308</v>
      </c>
      <c r="BK48" s="18">
        <v>1.5517923179350368</v>
      </c>
      <c r="BL48" s="18">
        <v>0.87135533641882079</v>
      </c>
      <c r="BM48" s="19">
        <v>6.2970844357645983E-4</v>
      </c>
      <c r="BN48" s="19">
        <v>7.3361188790632692E-4</v>
      </c>
      <c r="BO48" s="19">
        <v>1.9330121677417766E-3</v>
      </c>
      <c r="BP48" s="20">
        <v>2.1736238304211897E-3</v>
      </c>
      <c r="BQ48" s="20">
        <v>2.8493374843684416E-3</v>
      </c>
      <c r="BR48" s="20">
        <v>3.9695311842281597E-3</v>
      </c>
      <c r="BV48" s="1">
        <v>40</v>
      </c>
      <c r="BW48" s="15">
        <v>1.7544243090954953E-2</v>
      </c>
      <c r="BX48" s="15">
        <v>0.42183902206652413</v>
      </c>
      <c r="BY48" s="15">
        <v>0.72973694811254575</v>
      </c>
      <c r="BZ48" s="16">
        <v>0.48616588732153071</v>
      </c>
      <c r="CA48" s="16">
        <v>1.2232493076123718</v>
      </c>
      <c r="CB48" s="16">
        <v>1.0325248772162119</v>
      </c>
      <c r="CC48" s="17">
        <v>0.89463419624577578</v>
      </c>
      <c r="CD48" s="17">
        <v>0.89329761933699803</v>
      </c>
      <c r="CE48" s="17">
        <v>0.26097384845122862</v>
      </c>
      <c r="CF48" s="18">
        <v>0.21659559371554493</v>
      </c>
      <c r="CG48" s="18">
        <v>0.42072775918066746</v>
      </c>
      <c r="CH48" s="18">
        <v>0.2998616628783306</v>
      </c>
      <c r="CI48" s="19">
        <v>1.6120331210489613E-4</v>
      </c>
      <c r="CJ48" s="19">
        <v>9.3741520723611416E-7</v>
      </c>
      <c r="CK48" s="19">
        <v>1.0060521871884109E-3</v>
      </c>
      <c r="CL48" s="20">
        <v>1.3528229706749606E-3</v>
      </c>
      <c r="CM48" s="20">
        <v>5.2915278097300789E-3</v>
      </c>
      <c r="CN48" s="20">
        <v>1.1603392198774598E-3</v>
      </c>
      <c r="CS48" s="1">
        <v>40</v>
      </c>
      <c r="CT48" s="15">
        <v>4.0215149725638957E-2</v>
      </c>
      <c r="CU48" s="15">
        <v>0.6182391413232553</v>
      </c>
      <c r="CV48" s="15">
        <v>1.0528490332572766</v>
      </c>
      <c r="CW48" s="16">
        <v>0.72208973141637423</v>
      </c>
      <c r="CX48" s="16">
        <v>1.1042120980468701</v>
      </c>
      <c r="CY48" s="16">
        <v>0.10902133975665658</v>
      </c>
      <c r="CZ48" s="17">
        <v>0.87754217392930578</v>
      </c>
      <c r="DA48" s="17">
        <v>0.10343478694016571</v>
      </c>
      <c r="DB48" s="17">
        <v>1.3398749911333911</v>
      </c>
      <c r="DC48" s="18">
        <v>0.51557884263639686</v>
      </c>
      <c r="DD48" s="18">
        <v>0.92059878563882425</v>
      </c>
      <c r="DE48" s="18">
        <v>0.4765669450608494</v>
      </c>
      <c r="DF48" s="19">
        <v>3.706346291993956E-4</v>
      </c>
      <c r="DG48" s="19">
        <v>2.2818043399241983E-4</v>
      </c>
      <c r="DH48" s="19">
        <v>1.1901811136540985E-3</v>
      </c>
      <c r="DI48" s="20">
        <v>1.6862241018343882E-3</v>
      </c>
      <c r="DJ48" s="20">
        <v>1.4942599104962317E-3</v>
      </c>
      <c r="DK48" s="20">
        <v>3.5110478266163758E-3</v>
      </c>
    </row>
    <row r="49" spans="5:115" ht="15.75" x14ac:dyDescent="0.25">
      <c r="F49" s="1">
        <v>41</v>
      </c>
      <c r="G49" s="15">
        <v>4.5132227036174304E-2</v>
      </c>
      <c r="H49" s="15">
        <v>0.10506120992484891</v>
      </c>
      <c r="I49" s="15">
        <v>5.1515905214458604E-2</v>
      </c>
      <c r="J49" s="16">
        <v>0.13710613603834648</v>
      </c>
      <c r="K49" s="16">
        <v>4.9777481006866867E-2</v>
      </c>
      <c r="L49" s="16">
        <v>0.76918411331160974</v>
      </c>
      <c r="M49" s="17">
        <v>0.89694068198185728</v>
      </c>
      <c r="N49" s="17">
        <v>0.63961947517501672</v>
      </c>
      <c r="O49" s="17">
        <v>0.85013698191471332</v>
      </c>
      <c r="P49" s="18">
        <v>0.37610189196811922</v>
      </c>
      <c r="Q49" s="18">
        <v>0.87551008270698105</v>
      </c>
      <c r="R49" s="18">
        <v>0.39627619395737379</v>
      </c>
      <c r="S49" s="19">
        <v>3.969844300040215E-4</v>
      </c>
      <c r="T49" s="19">
        <v>9.2551100039361955E-4</v>
      </c>
      <c r="U49" s="19">
        <v>4.4795760595006673E-4</v>
      </c>
      <c r="V49" s="20">
        <v>2.6475557890959234E-4</v>
      </c>
      <c r="W49" s="20">
        <v>5.283643175888475E-4</v>
      </c>
      <c r="X49" s="20">
        <v>3.1617640037276966E-3</v>
      </c>
      <c r="AC49" s="1">
        <v>41</v>
      </c>
      <c r="AD49" s="15">
        <v>1.9958037903536299E-2</v>
      </c>
      <c r="AE49" s="15">
        <v>0.63809300247886069</v>
      </c>
      <c r="AF49" s="15">
        <v>1.3151502523325536</v>
      </c>
      <c r="AG49" s="16">
        <v>2.8343309765334949E-2</v>
      </c>
      <c r="AH49" s="16">
        <v>0.29737041864448505</v>
      </c>
      <c r="AI49" s="16">
        <v>0.70447276938500747</v>
      </c>
      <c r="AJ49" s="17">
        <v>1.1075886128262264</v>
      </c>
      <c r="AK49" s="17">
        <v>0.71182862757662058</v>
      </c>
      <c r="AL49" s="17">
        <v>0.81593212530458337</v>
      </c>
      <c r="AM49" s="18">
        <v>0.17205205089283598</v>
      </c>
      <c r="AN49" s="18">
        <v>0.34627471626160089</v>
      </c>
      <c r="AO49" s="18">
        <v>7.4791108570272935E-2</v>
      </c>
      <c r="AP49" s="19">
        <v>1.7646427387418839E-4</v>
      </c>
      <c r="AQ49" s="19">
        <v>1.1491995154314651E-3</v>
      </c>
      <c r="AR49" s="19">
        <v>1.8310042258704586E-3</v>
      </c>
      <c r="AS49" s="20">
        <v>2.1656123574298473E-5</v>
      </c>
      <c r="AT49" s="20">
        <v>2.9480752208126404E-3</v>
      </c>
      <c r="AU49" s="20">
        <v>2.3176125731797503E-3</v>
      </c>
      <c r="AZ49" s="1">
        <v>41</v>
      </c>
      <c r="BA49" s="15">
        <v>6.5205230790125357E-2</v>
      </c>
      <c r="BB49" s="15">
        <v>0.75780579069241039</v>
      </c>
      <c r="BC49" s="15">
        <v>1.128862225090524</v>
      </c>
      <c r="BD49" s="16">
        <v>0.96542933913556084</v>
      </c>
      <c r="BE49" s="16">
        <v>1.701264476399672</v>
      </c>
      <c r="BF49" s="16">
        <v>0.18171787475366807</v>
      </c>
      <c r="BG49" s="17">
        <v>0.49035557754691572</v>
      </c>
      <c r="BH49" s="17">
        <v>3.3355568315272838E-2</v>
      </c>
      <c r="BI49" s="17">
        <v>1.3619252333972924</v>
      </c>
      <c r="BJ49" s="18">
        <v>0.69367266798004323</v>
      </c>
      <c r="BK49" s="18">
        <v>1.5230295202444597</v>
      </c>
      <c r="BL49" s="18">
        <v>0.9906394513940131</v>
      </c>
      <c r="BM49" s="19">
        <v>5.9037443594489581E-4</v>
      </c>
      <c r="BN49" s="19">
        <v>7.0938156577138312E-4</v>
      </c>
      <c r="BO49" s="19">
        <v>2.03651605309163E-3</v>
      </c>
      <c r="BP49" s="20">
        <v>2.2258960801793122E-3</v>
      </c>
      <c r="BQ49" s="20">
        <v>3.0556798664636009E-3</v>
      </c>
      <c r="BR49" s="20">
        <v>3.6256845208303412E-3</v>
      </c>
      <c r="BV49" s="1">
        <v>41</v>
      </c>
      <c r="BW49" s="15">
        <v>0.16868367483084457</v>
      </c>
      <c r="BX49" s="15">
        <v>0.40602713489233361</v>
      </c>
      <c r="BY49" s="15">
        <v>0.90967498323593599</v>
      </c>
      <c r="BZ49" s="16">
        <v>1.0153467104715284</v>
      </c>
      <c r="CA49" s="16">
        <v>1.6076177690331224</v>
      </c>
      <c r="CB49" s="16">
        <v>7.4261591485360684E-2</v>
      </c>
      <c r="CC49" s="17">
        <v>1.7396575664015339</v>
      </c>
      <c r="CD49" s="17">
        <v>0.41782370131024477</v>
      </c>
      <c r="CE49" s="17">
        <v>0.43444414272016246</v>
      </c>
      <c r="CF49" s="18">
        <v>2.0825145040845534</v>
      </c>
      <c r="CG49" s="18">
        <v>0.23249100710697168</v>
      </c>
      <c r="CH49" s="18">
        <v>1.5551696270533879</v>
      </c>
      <c r="CI49" s="19">
        <v>1.547592435903189E-3</v>
      </c>
      <c r="CJ49" s="19">
        <v>1.4636462744299639E-4</v>
      </c>
      <c r="CK49" s="19">
        <v>6.3187783913021267E-4</v>
      </c>
      <c r="CL49" s="20">
        <v>3.1749058166119504E-3</v>
      </c>
      <c r="CM49" s="20">
        <v>6.4726166852415723E-3</v>
      </c>
      <c r="CN49" s="20">
        <v>3.757659925712864E-3</v>
      </c>
      <c r="CS49" s="1">
        <v>41</v>
      </c>
      <c r="CT49" s="15">
        <v>3.9805294797198923E-2</v>
      </c>
      <c r="CU49" s="15">
        <v>0.61770834665786611</v>
      </c>
      <c r="CV49" s="15">
        <v>1.0518537605878924</v>
      </c>
      <c r="CW49" s="16">
        <v>0.69323703635221912</v>
      </c>
      <c r="CX49" s="16">
        <v>1.1167146067071607</v>
      </c>
      <c r="CY49" s="16">
        <v>7.7909624878290798E-2</v>
      </c>
      <c r="CZ49" s="17">
        <v>0.90488145722310875</v>
      </c>
      <c r="DA49" s="17">
        <v>8.1182030936809021E-2</v>
      </c>
      <c r="DB49" s="17">
        <v>1.3253707443931155</v>
      </c>
      <c r="DC49" s="18">
        <v>0.51032429227181686</v>
      </c>
      <c r="DD49" s="18">
        <v>0.91352152343344795</v>
      </c>
      <c r="DE49" s="18">
        <v>0.48949256414378062</v>
      </c>
      <c r="DF49" s="19">
        <v>3.668587888078223E-4</v>
      </c>
      <c r="DG49" s="19">
        <v>2.232388475762459E-4</v>
      </c>
      <c r="DH49" s="19">
        <v>1.1994531632475436E-3</v>
      </c>
      <c r="DI49" s="20">
        <v>1.6158682915008438E-3</v>
      </c>
      <c r="DJ49" s="20">
        <v>1.5343434219429186E-3</v>
      </c>
      <c r="DK49" s="20">
        <v>3.6226822261509195E-3</v>
      </c>
    </row>
    <row r="50" spans="5:115" ht="15.75" x14ac:dyDescent="0.25">
      <c r="F50" s="1">
        <v>42</v>
      </c>
      <c r="G50" s="15">
        <v>4.9880018310307306E-2</v>
      </c>
      <c r="H50" s="15">
        <v>0.10075238088285389</v>
      </c>
      <c r="I50" s="15">
        <v>5.3979394971596317E-2</v>
      </c>
      <c r="J50" s="16">
        <v>0.13674507753400317</v>
      </c>
      <c r="K50" s="16">
        <v>6.6227938355551713E-2</v>
      </c>
      <c r="L50" s="16">
        <v>0.72818511951573306</v>
      </c>
      <c r="M50" s="17">
        <v>0.93206736753767583</v>
      </c>
      <c r="N50" s="17">
        <v>0.62165883098817765</v>
      </c>
      <c r="O50" s="17">
        <v>0.85604735361024464</v>
      </c>
      <c r="P50" s="18">
        <v>0.41566681925263044</v>
      </c>
      <c r="Q50" s="18">
        <v>0.8396031740237635</v>
      </c>
      <c r="R50" s="18">
        <v>0.41522611516615088</v>
      </c>
      <c r="S50" s="19">
        <v>4.387253248583356E-4</v>
      </c>
      <c r="T50" s="19">
        <v>8.8751514440776902E-4</v>
      </c>
      <c r="U50" s="19">
        <v>4.693673745839177E-4</v>
      </c>
      <c r="V50" s="20">
        <v>2.5003792276667713E-4</v>
      </c>
      <c r="W50" s="20">
        <v>5.6975734063102745E-4</v>
      </c>
      <c r="X50" s="20">
        <v>3.0126977058564375E-3</v>
      </c>
      <c r="AC50" s="1">
        <v>42</v>
      </c>
      <c r="AD50" s="15">
        <v>2.0317679846267495E-2</v>
      </c>
      <c r="AE50" s="15">
        <v>0.63588353739432568</v>
      </c>
      <c r="AF50" s="15">
        <v>1.3157834114073508</v>
      </c>
      <c r="AG50" s="16">
        <v>1.2222670370927956E-2</v>
      </c>
      <c r="AH50" s="16">
        <v>0.29681603398157486</v>
      </c>
      <c r="AI50" s="16">
        <v>0.72094645337988794</v>
      </c>
      <c r="AJ50" s="17">
        <v>1.1834659699776147</v>
      </c>
      <c r="AK50" s="17">
        <v>0.73372050605727657</v>
      </c>
      <c r="AL50" s="17">
        <v>0.94224060395541931</v>
      </c>
      <c r="AM50" s="18">
        <v>0.17515241246799662</v>
      </c>
      <c r="AN50" s="18">
        <v>0.36532182905925881</v>
      </c>
      <c r="AO50" s="18">
        <v>6.9920654148736397E-2</v>
      </c>
      <c r="AP50" s="19">
        <v>1.7964478949450413E-4</v>
      </c>
      <c r="AQ50" s="19">
        <v>1.1688306266209869E-3</v>
      </c>
      <c r="AR50" s="19">
        <v>1.825434043554286E-3</v>
      </c>
      <c r="AS50" s="20">
        <v>2.0906670977538511E-5</v>
      </c>
      <c r="AT50" s="20">
        <v>2.9393091248475223E-3</v>
      </c>
      <c r="AU50" s="20">
        <v>2.2576430140230919E-3</v>
      </c>
      <c r="AZ50" s="1">
        <v>42</v>
      </c>
      <c r="BA50" s="15">
        <v>6.60779362977027E-2</v>
      </c>
      <c r="BB50" s="15">
        <v>0.76184268600773364</v>
      </c>
      <c r="BC50" s="15">
        <v>1.1383187059541418</v>
      </c>
      <c r="BD50" s="16">
        <v>1.0471132519115194</v>
      </c>
      <c r="BE50" s="16">
        <v>1.5152564650007423</v>
      </c>
      <c r="BF50" s="16">
        <v>8.9388784249721964E-2</v>
      </c>
      <c r="BG50" s="17">
        <v>0.44698057371377947</v>
      </c>
      <c r="BH50" s="17">
        <v>4.0771537174873326E-3</v>
      </c>
      <c r="BI50" s="17">
        <v>1.3954068588210276</v>
      </c>
      <c r="BJ50" s="18">
        <v>0.70295676912442462</v>
      </c>
      <c r="BK50" s="18">
        <v>1.5669088171502081</v>
      </c>
      <c r="BL50" s="18">
        <v>0.89109754756670212</v>
      </c>
      <c r="BM50" s="19">
        <v>5.9827077787344418E-4</v>
      </c>
      <c r="BN50" s="19">
        <v>7.4634682938290453E-4</v>
      </c>
      <c r="BO50" s="19">
        <v>1.9501442981839645E-3</v>
      </c>
      <c r="BP50" s="20">
        <v>2.4257949985772025E-3</v>
      </c>
      <c r="BQ50" s="20">
        <v>2.4396522216099115E-3</v>
      </c>
      <c r="BR50" s="20">
        <v>4.0140250786478981E-3</v>
      </c>
      <c r="BV50" s="1">
        <v>42</v>
      </c>
      <c r="BW50" s="15">
        <v>1.8330634972427727E-2</v>
      </c>
      <c r="BX50" s="15">
        <v>0.42326017772628188</v>
      </c>
      <c r="BY50" s="15">
        <v>0.73026932393461441</v>
      </c>
      <c r="BZ50" s="16">
        <v>0.49505602055040926</v>
      </c>
      <c r="CA50" s="16">
        <v>1.2181682788981441</v>
      </c>
      <c r="CB50" s="16">
        <v>0.99530746167758499</v>
      </c>
      <c r="CC50" s="17">
        <v>0.85165383217389345</v>
      </c>
      <c r="CD50" s="17">
        <v>0.8889133360920991</v>
      </c>
      <c r="CE50" s="17">
        <v>0.21412020626203557</v>
      </c>
      <c r="CF50" s="18">
        <v>0.2263041354621052</v>
      </c>
      <c r="CG50" s="18">
        <v>0.43764627893953523</v>
      </c>
      <c r="CH50" s="18">
        <v>0.29437325234156791</v>
      </c>
      <c r="CI50" s="19">
        <v>1.6842766153679634E-4</v>
      </c>
      <c r="CJ50" s="19">
        <v>1.213569056468522E-5</v>
      </c>
      <c r="CK50" s="19">
        <v>1.0012148640063945E-3</v>
      </c>
      <c r="CL50" s="20">
        <v>1.3787990892966118E-3</v>
      </c>
      <c r="CM50" s="20">
        <v>5.2798579411778013E-3</v>
      </c>
      <c r="CN50" s="20">
        <v>1.0155243997602703E-3</v>
      </c>
      <c r="CS50" s="1">
        <v>42</v>
      </c>
      <c r="CT50" s="15">
        <v>3.8389415269953292E-2</v>
      </c>
      <c r="CU50" s="15">
        <v>0.61787730727900281</v>
      </c>
      <c r="CV50" s="15">
        <v>1.0502698507952724</v>
      </c>
      <c r="CW50" s="16">
        <v>0.71493734738767267</v>
      </c>
      <c r="CX50" s="16">
        <v>1.1158636784317582</v>
      </c>
      <c r="CY50" s="16">
        <v>0.11644242133983748</v>
      </c>
      <c r="CZ50" s="17">
        <v>0.91263206592380319</v>
      </c>
      <c r="DA50" s="17">
        <v>9.1692261648001594E-2</v>
      </c>
      <c r="DB50" s="17">
        <v>1.3548998709750282</v>
      </c>
      <c r="DC50" s="18">
        <v>0.49217199064046258</v>
      </c>
      <c r="DD50" s="18">
        <v>0.91577433171535716</v>
      </c>
      <c r="DE50" s="18">
        <v>0.51006282119072122</v>
      </c>
      <c r="DF50" s="19">
        <v>3.538145814400151E-4</v>
      </c>
      <c r="DG50" s="19">
        <v>2.2481182960654156E-4</v>
      </c>
      <c r="DH50" s="19">
        <v>1.2142086245385819E-3</v>
      </c>
      <c r="DI50" s="20">
        <v>1.6730773170470226E-3</v>
      </c>
      <c r="DJ50" s="20">
        <v>1.5312087335589419E-3</v>
      </c>
      <c r="DK50" s="20">
        <v>3.4738719554850972E-3</v>
      </c>
    </row>
    <row r="51" spans="5:115" ht="15.75" x14ac:dyDescent="0.25">
      <c r="F51" s="1">
        <v>43</v>
      </c>
      <c r="G51" s="15">
        <v>5.7116260651625159E-2</v>
      </c>
      <c r="H51" s="15">
        <v>0.1038060687373929</v>
      </c>
      <c r="I51" s="15">
        <v>4.6568759107382451E-2</v>
      </c>
      <c r="J51" s="16">
        <v>0.11198319069695656</v>
      </c>
      <c r="K51" s="16">
        <v>0.10588877461303484</v>
      </c>
      <c r="L51" s="16">
        <v>0.667742684170479</v>
      </c>
      <c r="M51" s="17">
        <v>0.93310400154257311</v>
      </c>
      <c r="N51" s="17">
        <v>0.57770797083541159</v>
      </c>
      <c r="O51" s="17">
        <v>0.79737318945863978</v>
      </c>
      <c r="P51" s="18">
        <v>0.47596883876357082</v>
      </c>
      <c r="Q51" s="18">
        <v>0.86505057281166275</v>
      </c>
      <c r="R51" s="18">
        <v>0.35822122390296723</v>
      </c>
      <c r="S51" s="19">
        <v>5.0233617809347653E-4</v>
      </c>
      <c r="T51" s="19">
        <v>9.1444265185669504E-4</v>
      </c>
      <c r="U51" s="19">
        <v>4.0495961956454885E-4</v>
      </c>
      <c r="V51" s="20">
        <v>1.5792308253359533E-4</v>
      </c>
      <c r="W51" s="20">
        <v>7.154648151358467E-4</v>
      </c>
      <c r="X51" s="20">
        <v>2.7506924763188723E-3</v>
      </c>
      <c r="AC51" s="1">
        <v>43</v>
      </c>
      <c r="AD51" s="15">
        <v>2.043922437885631E-2</v>
      </c>
      <c r="AE51" s="15">
        <v>0.6385243385743341</v>
      </c>
      <c r="AF51" s="15">
        <v>1.3191214312418966</v>
      </c>
      <c r="AG51" s="16">
        <v>1.9937627537960124E-2</v>
      </c>
      <c r="AH51" s="16">
        <v>0.29103435290630836</v>
      </c>
      <c r="AI51" s="16">
        <v>0.73572732149942421</v>
      </c>
      <c r="AJ51" s="17">
        <v>1.1882239588817947</v>
      </c>
      <c r="AK51" s="17">
        <v>0.71772482208990085</v>
      </c>
      <c r="AL51" s="17">
        <v>0.92037968785887403</v>
      </c>
      <c r="AM51" s="18">
        <v>0.17620021016261947</v>
      </c>
      <c r="AN51" s="18">
        <v>0.34255630164546563</v>
      </c>
      <c r="AO51" s="18">
        <v>4.4243578498439601E-2</v>
      </c>
      <c r="AP51" s="19">
        <v>1.8071968121047274E-4</v>
      </c>
      <c r="AQ51" s="19">
        <v>1.1453669896499541E-3</v>
      </c>
      <c r="AR51" s="19">
        <v>1.7960668149377135E-3</v>
      </c>
      <c r="AS51" s="20">
        <v>1.2954532481179726E-6</v>
      </c>
      <c r="AT51" s="20">
        <v>2.9294993246399281E-3</v>
      </c>
      <c r="AU51" s="20">
        <v>2.2143819260538318E-3</v>
      </c>
      <c r="AZ51" s="1">
        <v>43</v>
      </c>
      <c r="BA51" s="15">
        <v>5.9298218884321109E-2</v>
      </c>
      <c r="BB51" s="15">
        <v>0.76071581524340104</v>
      </c>
      <c r="BC51" s="15">
        <v>1.1249867546636876</v>
      </c>
      <c r="BD51" s="16">
        <v>0.96263903499035686</v>
      </c>
      <c r="BE51" s="16">
        <v>1.6136625030074656</v>
      </c>
      <c r="BF51" s="16">
        <v>0.17339212464214301</v>
      </c>
      <c r="BG51" s="17">
        <v>0.50082249461682271</v>
      </c>
      <c r="BH51" s="17">
        <v>6.6774813858405502E-2</v>
      </c>
      <c r="BI51" s="17">
        <v>1.3040766095465732</v>
      </c>
      <c r="BJ51" s="18">
        <v>0.63083211579062171</v>
      </c>
      <c r="BK51" s="18">
        <v>1.5546602218857024</v>
      </c>
      <c r="BL51" s="18">
        <v>1.0314338769397307</v>
      </c>
      <c r="BM51" s="19">
        <v>5.3692347703304666E-4</v>
      </c>
      <c r="BN51" s="19">
        <v>7.3602793501714725E-4</v>
      </c>
      <c r="BO51" s="19">
        <v>2.0719082938983609E-3</v>
      </c>
      <c r="BP51" s="20">
        <v>2.2337381650728849E-3</v>
      </c>
      <c r="BQ51" s="20">
        <v>2.7622826007760448E-3</v>
      </c>
      <c r="BR51" s="20">
        <v>3.642511465570375E-3</v>
      </c>
      <c r="BV51" s="1">
        <v>43</v>
      </c>
      <c r="BW51" s="15">
        <v>2.131358648799811E-2</v>
      </c>
      <c r="BX51" s="15">
        <v>0.42372135211323075</v>
      </c>
      <c r="BY51" s="15">
        <v>0.73178420553117007</v>
      </c>
      <c r="BZ51" s="16">
        <v>0.51059199963123836</v>
      </c>
      <c r="CA51" s="16">
        <v>1.2316945718189376</v>
      </c>
      <c r="CB51" s="16">
        <v>0.93062944490991484</v>
      </c>
      <c r="CC51" s="17">
        <v>0.8105844497581699</v>
      </c>
      <c r="CD51" s="17">
        <v>0.85940146724006772</v>
      </c>
      <c r="CE51" s="17">
        <v>0.12195489289851856</v>
      </c>
      <c r="CF51" s="18">
        <v>0.26313069738271005</v>
      </c>
      <c r="CG51" s="18">
        <v>0.44313645021295595</v>
      </c>
      <c r="CH51" s="18">
        <v>0.27875591629454527</v>
      </c>
      <c r="CI51" s="19">
        <v>1.958301214024516E-4</v>
      </c>
      <c r="CJ51" s="19">
        <v>1.6378079825019043E-5</v>
      </c>
      <c r="CK51" s="19">
        <v>9.8744992072841153E-4</v>
      </c>
      <c r="CL51" s="20">
        <v>1.428489761555074E-3</v>
      </c>
      <c r="CM51" s="20">
        <v>5.3247702659110496E-3</v>
      </c>
      <c r="CN51" s="20">
        <v>7.6170489369886685E-4</v>
      </c>
      <c r="CS51" s="1">
        <v>43</v>
      </c>
      <c r="CT51" s="15">
        <v>3.6546413332416608E-2</v>
      </c>
      <c r="CU51" s="15">
        <v>0.61762504548939245</v>
      </c>
      <c r="CV51" s="15">
        <v>1.0474960246605487</v>
      </c>
      <c r="CW51" s="16">
        <v>0.72628450015061519</v>
      </c>
      <c r="CX51" s="16">
        <v>1.1172835333470093</v>
      </c>
      <c r="CY51" s="16">
        <v>0.10756739048551872</v>
      </c>
      <c r="CZ51" s="17">
        <v>0.91303708171650655</v>
      </c>
      <c r="DA51" s="17">
        <v>8.3437409794686238E-2</v>
      </c>
      <c r="DB51" s="17">
        <v>1.3337768143772837</v>
      </c>
      <c r="DC51" s="18">
        <v>0.46854376067198983</v>
      </c>
      <c r="DD51" s="18">
        <v>0.91241084118739557</v>
      </c>
      <c r="DE51" s="18">
        <v>0.54608653722625511</v>
      </c>
      <c r="DF51" s="19">
        <v>3.3683482987578728E-4</v>
      </c>
      <c r="DG51" s="19">
        <v>2.22463336053913E-4</v>
      </c>
      <c r="DH51" s="19">
        <v>1.2400480264335156E-3</v>
      </c>
      <c r="DI51" s="20">
        <v>1.7057399465443268E-3</v>
      </c>
      <c r="DJ51" s="20">
        <v>1.5363484624268953E-3</v>
      </c>
      <c r="DK51" s="20">
        <v>3.4964000440005361E-3</v>
      </c>
    </row>
    <row r="52" spans="5:115" ht="15.75" x14ac:dyDescent="0.25">
      <c r="F52" s="1">
        <v>44</v>
      </c>
      <c r="G52" s="15">
        <v>6.0462704828378872E-2</v>
      </c>
      <c r="H52" s="15">
        <v>0.10120060438442385</v>
      </c>
      <c r="I52" s="15">
        <v>3.7353877852655842E-2</v>
      </c>
      <c r="J52" s="16">
        <v>0.10848864758883917</v>
      </c>
      <c r="K52" s="16">
        <v>0.11126291189485894</v>
      </c>
      <c r="L52" s="16">
        <v>0.61725181817836872</v>
      </c>
      <c r="M52" s="17">
        <v>1.0201617311081008</v>
      </c>
      <c r="N52" s="17">
        <v>0.56808858528416373</v>
      </c>
      <c r="O52" s="17">
        <v>0.86379652484730518</v>
      </c>
      <c r="P52" s="18">
        <v>0.50385587356985184</v>
      </c>
      <c r="Q52" s="18">
        <v>0.84333836987017985</v>
      </c>
      <c r="R52" s="18">
        <v>0.28733752194348106</v>
      </c>
      <c r="S52" s="19">
        <v>5.3175029188035072E-4</v>
      </c>
      <c r="T52" s="19">
        <v>8.9146748906965289E-4</v>
      </c>
      <c r="U52" s="19">
        <v>3.2485739048526696E-4</v>
      </c>
      <c r="V52" s="20">
        <v>1.3822847612199318E-4</v>
      </c>
      <c r="W52" s="20">
        <v>7.2488839806672534E-4</v>
      </c>
      <c r="X52" s="20">
        <v>2.5203175688526258E-3</v>
      </c>
      <c r="AC52" s="1">
        <v>44</v>
      </c>
      <c r="AD52" s="15">
        <v>4.5392634047790132E-3</v>
      </c>
      <c r="AE52" s="15">
        <v>0.63456281920844959</v>
      </c>
      <c r="AF52" s="15">
        <v>1.3266399326767435</v>
      </c>
      <c r="AG52" s="16">
        <v>7.4395941835460708E-2</v>
      </c>
      <c r="AH52" s="16">
        <v>0.33811188958893296</v>
      </c>
      <c r="AI52" s="16">
        <v>0.59320052815830693</v>
      </c>
      <c r="AJ52" s="17">
        <v>1.192678600226744</v>
      </c>
      <c r="AK52" s="17">
        <v>0.65749889430450725</v>
      </c>
      <c r="AL52" s="17">
        <v>0.82652772810722619</v>
      </c>
      <c r="AM52" s="18">
        <v>3.9131581075897766E-2</v>
      </c>
      <c r="AN52" s="18">
        <v>0.37670733066169676</v>
      </c>
      <c r="AO52" s="18">
        <v>1.3591047923515237E-2</v>
      </c>
      <c r="AP52" s="19">
        <v>4.0128910055448053E-5</v>
      </c>
      <c r="AQ52" s="19">
        <v>1.1805647991213197E-3</v>
      </c>
      <c r="AR52" s="19">
        <v>1.7299132704253761E-3</v>
      </c>
      <c r="AS52" s="20">
        <v>1.8038299083078524E-4</v>
      </c>
      <c r="AT52" s="20">
        <v>3.0651048793449709E-3</v>
      </c>
      <c r="AU52" s="20">
        <v>2.7825630324697088E-3</v>
      </c>
      <c r="AZ52" s="1">
        <v>44</v>
      </c>
      <c r="BA52" s="15">
        <v>5.3264667366449442E-2</v>
      </c>
      <c r="BB52" s="15">
        <v>0.75798142874525631</v>
      </c>
      <c r="BC52" s="15">
        <v>1.1102083232250979</v>
      </c>
      <c r="BD52" s="16">
        <v>1.0398990811046991</v>
      </c>
      <c r="BE52" s="16">
        <v>1.5933706410525228</v>
      </c>
      <c r="BF52" s="16">
        <v>7.7439673570313422E-2</v>
      </c>
      <c r="BG52" s="17">
        <v>0.48923193249955477</v>
      </c>
      <c r="BH52" s="17">
        <v>3.4834878031388856E-2</v>
      </c>
      <c r="BI52" s="17">
        <v>1.3694722307463869</v>
      </c>
      <c r="BJ52" s="18">
        <v>0.56664539751534715</v>
      </c>
      <c r="BK52" s="18">
        <v>1.5249386295146046</v>
      </c>
      <c r="BL52" s="18">
        <v>1.1869963131354704</v>
      </c>
      <c r="BM52" s="19">
        <v>4.823209796743777E-4</v>
      </c>
      <c r="BN52" s="19">
        <v>7.1098979531647455E-4</v>
      </c>
      <c r="BO52" s="19">
        <v>2.2068449812044917E-3</v>
      </c>
      <c r="BP52" s="20">
        <v>2.4399597922950549E-3</v>
      </c>
      <c r="BQ52" s="20">
        <v>2.7052854609231902E-3</v>
      </c>
      <c r="BR52" s="20">
        <v>3.9513231368544224E-3</v>
      </c>
      <c r="BV52" s="1">
        <v>44</v>
      </c>
      <c r="BW52" s="15">
        <v>2.3878670379267726E-2</v>
      </c>
      <c r="BX52" s="15">
        <v>0.42350990153147683</v>
      </c>
      <c r="BY52" s="15">
        <v>0.73615009814007815</v>
      </c>
      <c r="BZ52" s="16">
        <v>0.52659912625507543</v>
      </c>
      <c r="CA52" s="16">
        <v>1.2369848406209227</v>
      </c>
      <c r="CB52" s="16">
        <v>0.91190262992140414</v>
      </c>
      <c r="CC52" s="17">
        <v>0.85474364682307358</v>
      </c>
      <c r="CD52" s="17">
        <v>0.86660926505883751</v>
      </c>
      <c r="CE52" s="17">
        <v>0.19002993429806594</v>
      </c>
      <c r="CF52" s="18">
        <v>0.29479839974397737</v>
      </c>
      <c r="CG52" s="18">
        <v>0.44061918138242046</v>
      </c>
      <c r="CH52" s="18">
        <v>0.23374671414102358</v>
      </c>
      <c r="CI52" s="19">
        <v>2.1939259275138845E-4</v>
      </c>
      <c r="CJ52" s="19">
        <v>1.4432919919760145E-5</v>
      </c>
      <c r="CK52" s="19">
        <v>9.4777696900005814E-4</v>
      </c>
      <c r="CL52" s="20">
        <v>1.47832649734847E-3</v>
      </c>
      <c r="CM52" s="20">
        <v>5.341057210170308E-3</v>
      </c>
      <c r="CN52" s="20">
        <v>6.7321130528308348E-4</v>
      </c>
      <c r="CS52" s="1">
        <v>44</v>
      </c>
      <c r="CT52" s="15">
        <v>3.9902342466325014E-2</v>
      </c>
      <c r="CU52" s="15">
        <v>0.61789791633397384</v>
      </c>
      <c r="CV52" s="15">
        <v>1.0526702611625771</v>
      </c>
      <c r="CW52" s="16">
        <v>0.69568867815577551</v>
      </c>
      <c r="CX52" s="16">
        <v>1.1258143037988375</v>
      </c>
      <c r="CY52" s="16">
        <v>0.10143104206903446</v>
      </c>
      <c r="CZ52" s="17">
        <v>0.90478246328736112</v>
      </c>
      <c r="DA52" s="17">
        <v>8.5205170855188306E-2</v>
      </c>
      <c r="DB52" s="17">
        <v>1.3309755705295292</v>
      </c>
      <c r="DC52" s="18">
        <v>0.51156849315806674</v>
      </c>
      <c r="DD52" s="18">
        <v>0.91604911911502207</v>
      </c>
      <c r="DE52" s="18">
        <v>0.47888866057646234</v>
      </c>
      <c r="DF52" s="19">
        <v>3.6775285553569681E-4</v>
      </c>
      <c r="DG52" s="19">
        <v>2.2500369523026365E-4</v>
      </c>
      <c r="DH52" s="19">
        <v>1.1918465842906123E-3</v>
      </c>
      <c r="DI52" s="20">
        <v>1.6216914989800602E-3</v>
      </c>
      <c r="DJ52" s="20">
        <v>1.5617551848734479E-3</v>
      </c>
      <c r="DK52" s="20">
        <v>3.5385252176145521E-3</v>
      </c>
    </row>
    <row r="53" spans="5:115" ht="15.75" x14ac:dyDescent="0.25">
      <c r="F53" s="1">
        <v>45</v>
      </c>
      <c r="G53" s="15">
        <v>4.3197961162835176E-2</v>
      </c>
      <c r="H53" s="15">
        <v>0.10371882578301302</v>
      </c>
      <c r="I53" s="15">
        <v>5.5552358662586815E-2</v>
      </c>
      <c r="J53" s="16">
        <v>0.19627617067774478</v>
      </c>
      <c r="K53" s="16">
        <v>7.5666222759951107E-2</v>
      </c>
      <c r="L53" s="16">
        <v>0.78766691310652515</v>
      </c>
      <c r="M53" s="17">
        <v>0.93555733487162229</v>
      </c>
      <c r="N53" s="17">
        <v>0.65224535115547722</v>
      </c>
      <c r="O53" s="17">
        <v>0.91473582685401655</v>
      </c>
      <c r="P53" s="18">
        <v>0.35998300969032099</v>
      </c>
      <c r="Q53" s="18">
        <v>0.86432354819175627</v>
      </c>
      <c r="R53" s="18">
        <v>0.42732583586606498</v>
      </c>
      <c r="S53" s="19">
        <v>3.7997791552057963E-4</v>
      </c>
      <c r="T53" s="19">
        <v>9.1367331812752806E-4</v>
      </c>
      <c r="U53" s="19">
        <v>4.8303718181674782E-4</v>
      </c>
      <c r="V53" s="20">
        <v>4.4064768677765098E-4</v>
      </c>
      <c r="W53" s="20">
        <v>6.1208667216805512E-4</v>
      </c>
      <c r="X53" s="20">
        <v>3.2487241482276334E-3</v>
      </c>
      <c r="AC53" s="1">
        <v>45</v>
      </c>
      <c r="AD53" s="15">
        <v>2.0532089045274645E-2</v>
      </c>
      <c r="AE53" s="15">
        <v>0.63924118016431453</v>
      </c>
      <c r="AF53" s="15">
        <v>1.3174894754588182</v>
      </c>
      <c r="AG53" s="16">
        <v>2.7031828604801966E-2</v>
      </c>
      <c r="AH53" s="16">
        <v>0.30243700243864746</v>
      </c>
      <c r="AI53" s="16">
        <v>0.69387148072376481</v>
      </c>
      <c r="AJ53" s="17">
        <v>1.1074497862960779</v>
      </c>
      <c r="AK53" s="17">
        <v>0.70957227622737307</v>
      </c>
      <c r="AL53" s="17">
        <v>0.81120138951001208</v>
      </c>
      <c r="AM53" s="18">
        <v>0.17700076763180805</v>
      </c>
      <c r="AN53" s="18">
        <v>0.33637663276626562</v>
      </c>
      <c r="AO53" s="18">
        <v>5.6797084522119685E-2</v>
      </c>
      <c r="AP53" s="19">
        <v>1.8154094130817813E-4</v>
      </c>
      <c r="AQ53" s="19">
        <v>1.1389976047301298E-3</v>
      </c>
      <c r="AR53" s="19">
        <v>1.8104246826299299E-3</v>
      </c>
      <c r="AS53" s="20">
        <v>1.6786582741290523E-5</v>
      </c>
      <c r="AT53" s="20">
        <v>2.9676738056896301E-3</v>
      </c>
      <c r="AU53" s="20">
        <v>2.3666656813506881E-3</v>
      </c>
      <c r="AZ53" s="1">
        <v>45</v>
      </c>
      <c r="BA53" s="15">
        <v>7.512221545239621E-2</v>
      </c>
      <c r="BB53" s="15">
        <v>0.76125955265109291</v>
      </c>
      <c r="BC53" s="15">
        <v>1.1461633060852214</v>
      </c>
      <c r="BD53" s="16">
        <v>0.97256508117119167</v>
      </c>
      <c r="BE53" s="16">
        <v>1.5228910057605061</v>
      </c>
      <c r="BF53" s="16">
        <v>6.0129408432574555E-2</v>
      </c>
      <c r="BG53" s="17">
        <v>0.48379459517221357</v>
      </c>
      <c r="BH53" s="17">
        <v>9.9610653643511626E-2</v>
      </c>
      <c r="BI53" s="17">
        <v>1.2331255405307526</v>
      </c>
      <c r="BJ53" s="18">
        <v>0.79917250481272661</v>
      </c>
      <c r="BK53" s="18">
        <v>1.560570411099665</v>
      </c>
      <c r="BL53" s="18">
        <v>0.80852280934458132</v>
      </c>
      <c r="BM53" s="19">
        <v>6.8009636853927358E-4</v>
      </c>
      <c r="BN53" s="19">
        <v>7.4100697616452649E-4</v>
      </c>
      <c r="BO53" s="19">
        <v>1.8784822843125326E-3</v>
      </c>
      <c r="BP53" s="20">
        <v>2.2187958196611124E-3</v>
      </c>
      <c r="BQ53" s="20">
        <v>2.4662742836434326E-3</v>
      </c>
      <c r="BR53" s="20">
        <v>4.1557085081143077E-3</v>
      </c>
      <c r="BV53" s="1">
        <v>45</v>
      </c>
      <c r="BW53" s="15">
        <v>2.1177183212012875E-2</v>
      </c>
      <c r="BX53" s="15">
        <v>0.4233241997477723</v>
      </c>
      <c r="BY53" s="15">
        <v>0.73320812250976297</v>
      </c>
      <c r="BZ53" s="16">
        <v>0.5121630213639724</v>
      </c>
      <c r="CA53" s="16">
        <v>1.2360367926745175</v>
      </c>
      <c r="CB53" s="16">
        <v>0.94488570937270067</v>
      </c>
      <c r="CC53" s="17">
        <v>0.83801499714170768</v>
      </c>
      <c r="CD53" s="17">
        <v>0.86943683073207079</v>
      </c>
      <c r="CE53" s="17">
        <v>0.16711802953612609</v>
      </c>
      <c r="CF53" s="18">
        <v>0.26144670632107792</v>
      </c>
      <c r="CG53" s="18">
        <v>0.43840844586215</v>
      </c>
      <c r="CH53" s="18">
        <v>0.26407635981431982</v>
      </c>
      <c r="CI53" s="19">
        <v>1.9457710776782378E-4</v>
      </c>
      <c r="CJ53" s="19">
        <v>1.2724633187799483E-5</v>
      </c>
      <c r="CK53" s="19">
        <v>9.7451114270741268E-4</v>
      </c>
      <c r="CL53" s="20">
        <v>1.432344311501188E-3</v>
      </c>
      <c r="CM53" s="20">
        <v>5.3374090309601385E-3</v>
      </c>
      <c r="CN53" s="20">
        <v>8.1091504545138804E-4</v>
      </c>
      <c r="CS53" s="1">
        <v>45</v>
      </c>
      <c r="CT53" s="15">
        <v>4.057039570523574E-2</v>
      </c>
      <c r="CU53" s="15">
        <v>0.61670594193033001</v>
      </c>
      <c r="CV53" s="15">
        <v>1.0525123789490478</v>
      </c>
      <c r="CW53" s="16">
        <v>0.71046130844360567</v>
      </c>
      <c r="CX53" s="16">
        <v>1.1275338876815668</v>
      </c>
      <c r="CY53" s="16">
        <v>0.10777057804479206</v>
      </c>
      <c r="CZ53" s="17">
        <v>0.94821653106743986</v>
      </c>
      <c r="DA53" s="17">
        <v>8.8858017030392311E-2</v>
      </c>
      <c r="DB53" s="17">
        <v>1.3875362333450345</v>
      </c>
      <c r="DC53" s="18">
        <v>0.52013327827225309</v>
      </c>
      <c r="DD53" s="18">
        <v>0.90015612706633752</v>
      </c>
      <c r="DE53" s="18">
        <v>0.48093907893394794</v>
      </c>
      <c r="DF53" s="19">
        <v>3.7390735270970143E-4</v>
      </c>
      <c r="DG53" s="19">
        <v>2.1390681488964169E-4</v>
      </c>
      <c r="DH53" s="19">
        <v>1.1933174363072396E-3</v>
      </c>
      <c r="DI53" s="20">
        <v>1.6565725287178701E-3</v>
      </c>
      <c r="DJ53" s="20">
        <v>1.5706928001859577E-3</v>
      </c>
      <c r="DK53" s="20">
        <v>3.5144257159839265E-3</v>
      </c>
    </row>
    <row r="54" spans="5:115" ht="15.75" x14ac:dyDescent="0.25">
      <c r="F54" s="1">
        <v>46</v>
      </c>
      <c r="G54" s="15">
        <v>7.620467340839604E-2</v>
      </c>
      <c r="H54" s="15">
        <v>9.817559230748156E-2</v>
      </c>
      <c r="I54" s="15">
        <v>2.8039775052222011E-2</v>
      </c>
      <c r="J54" s="16">
        <v>8.1241498095599454E-2</v>
      </c>
      <c r="K54" s="16">
        <v>0.13282347527321425</v>
      </c>
      <c r="L54" s="16">
        <v>0.58262159438762429</v>
      </c>
      <c r="M54" s="17">
        <v>1.0516202236311381</v>
      </c>
      <c r="N54" s="17">
        <v>0.54073236721706552</v>
      </c>
      <c r="O54" s="17">
        <v>0.86227543777343763</v>
      </c>
      <c r="P54" s="18">
        <v>0.63503894506998104</v>
      </c>
      <c r="Q54" s="18">
        <v>0.81812993589560523</v>
      </c>
      <c r="R54" s="18">
        <v>0.21569057732481003</v>
      </c>
      <c r="S54" s="19">
        <v>6.7009048572763696E-4</v>
      </c>
      <c r="T54" s="19">
        <v>8.6479422916252435E-4</v>
      </c>
      <c r="U54" s="19">
        <v>2.4387766020705917E-4</v>
      </c>
      <c r="V54" s="20">
        <v>1.4494980035473226E-5</v>
      </c>
      <c r="W54" s="20">
        <v>7.8807515401446704E-4</v>
      </c>
      <c r="X54" s="20">
        <v>2.3508711809575589E-3</v>
      </c>
      <c r="AC54" s="1">
        <v>46</v>
      </c>
      <c r="AD54" s="15">
        <v>1.9204782882226393E-2</v>
      </c>
      <c r="AE54" s="15">
        <v>0.63981152156173937</v>
      </c>
      <c r="AF54" s="15">
        <v>1.3187622419205569</v>
      </c>
      <c r="AG54" s="16">
        <v>6.0946629898094656E-2</v>
      </c>
      <c r="AH54" s="16">
        <v>0.32980345203780509</v>
      </c>
      <c r="AI54" s="16">
        <v>0.62098163028466224</v>
      </c>
      <c r="AJ54" s="17">
        <v>1.142477372740379</v>
      </c>
      <c r="AK54" s="17">
        <v>0.69455743260701275</v>
      </c>
      <c r="AL54" s="17">
        <v>0.83952743984895373</v>
      </c>
      <c r="AM54" s="18">
        <v>0.16555847312274974</v>
      </c>
      <c r="AN54" s="18">
        <v>0.33145989658158331</v>
      </c>
      <c r="AO54" s="18">
        <v>4.7006573277994984E-2</v>
      </c>
      <c r="AP54" s="19">
        <v>1.6980289095569479E-4</v>
      </c>
      <c r="AQ54" s="19">
        <v>1.1339298589302384E-3</v>
      </c>
      <c r="AR54" s="19">
        <v>1.7992269858945198E-3</v>
      </c>
      <c r="AS54" s="20">
        <v>1.0780207364347039E-4</v>
      </c>
      <c r="AT54" s="20">
        <v>3.055635006860236E-3</v>
      </c>
      <c r="AU54" s="20">
        <v>2.6474196832841912E-3</v>
      </c>
      <c r="AZ54" s="1">
        <v>46</v>
      </c>
      <c r="BA54" s="15">
        <v>8.2005624829931775E-2</v>
      </c>
      <c r="BB54" s="15">
        <v>0.75872187403076519</v>
      </c>
      <c r="BC54" s="15">
        <v>1.1503087261165197</v>
      </c>
      <c r="BD54" s="16">
        <v>0.91711453936498288</v>
      </c>
      <c r="BE54" s="16">
        <v>1.5196283195189038</v>
      </c>
      <c r="BF54" s="16">
        <v>9.1064583518768189E-3</v>
      </c>
      <c r="BG54" s="17">
        <v>0.5598910126549087</v>
      </c>
      <c r="BH54" s="17">
        <v>0.13636789727794479</v>
      </c>
      <c r="BI54" s="17">
        <v>1.2535991122155734</v>
      </c>
      <c r="BJ54" s="18">
        <v>0.87240026414812377</v>
      </c>
      <c r="BK54" s="18">
        <v>1.5329869478353135</v>
      </c>
      <c r="BL54" s="18">
        <v>0.76488680901525452</v>
      </c>
      <c r="BM54" s="19">
        <v>7.4236218221290784E-4</v>
      </c>
      <c r="BN54" s="19">
        <v>7.1776974395265647E-4</v>
      </c>
      <c r="BO54" s="19">
        <v>1.840608437849389E-3</v>
      </c>
      <c r="BP54" s="20">
        <v>2.0644721154557959E-3</v>
      </c>
      <c r="BQ54" s="20">
        <v>2.4638611849815417E-3</v>
      </c>
      <c r="BR54" s="20">
        <v>4.3660023687925875E-3</v>
      </c>
      <c r="BV54" s="1">
        <v>46</v>
      </c>
      <c r="BW54" s="15">
        <v>2.4684581855164849E-2</v>
      </c>
      <c r="BX54" s="15">
        <v>0.42231648914802616</v>
      </c>
      <c r="BY54" s="15">
        <v>0.73604694120255731</v>
      </c>
      <c r="BZ54" s="16">
        <v>0.55476842031841833</v>
      </c>
      <c r="CA54" s="16">
        <v>1.2650657710470934</v>
      </c>
      <c r="CB54" s="16">
        <v>0.86853736767822098</v>
      </c>
      <c r="CC54" s="17">
        <v>0.85574854878709938</v>
      </c>
      <c r="CD54" s="17">
        <v>0.86292443145935038</v>
      </c>
      <c r="CE54" s="17">
        <v>0.18551134835740729</v>
      </c>
      <c r="CF54" s="18">
        <v>0.30474792413773455</v>
      </c>
      <c r="CG54" s="18">
        <v>0.42641189110339955</v>
      </c>
      <c r="CH54" s="18">
        <v>0.23481018772365611</v>
      </c>
      <c r="CI54" s="19">
        <v>2.2679532377167799E-4</v>
      </c>
      <c r="CJ54" s="19">
        <v>3.4547275264973365E-6</v>
      </c>
      <c r="CK54" s="19">
        <v>9.4871439836829996E-4</v>
      </c>
      <c r="CL54" s="20">
        <v>1.5561228232671143E-3</v>
      </c>
      <c r="CM54" s="20">
        <v>5.4272719678114534E-3</v>
      </c>
      <c r="CN54" s="20">
        <v>5.0740800116155782E-4</v>
      </c>
      <c r="CS54" s="1">
        <v>46</v>
      </c>
      <c r="CT54" s="15">
        <v>3.9195165760990837E-2</v>
      </c>
      <c r="CU54" s="15">
        <v>0.61791881246104019</v>
      </c>
      <c r="CV54" s="15">
        <v>1.051658106943834</v>
      </c>
      <c r="CW54" s="16">
        <v>0.71732721264014698</v>
      </c>
      <c r="CX54" s="16">
        <v>1.1101187664068133</v>
      </c>
      <c r="CY54" s="16">
        <v>0.10673507489056967</v>
      </c>
      <c r="CZ54" s="17">
        <v>0.92499753893572834</v>
      </c>
      <c r="DA54" s="17">
        <v>8.2647499930713797E-2</v>
      </c>
      <c r="DB54" s="17">
        <v>1.3515342687866634</v>
      </c>
      <c r="DC54" s="18">
        <v>0.50250212514089021</v>
      </c>
      <c r="DD54" s="18">
        <v>0.91632773414261015</v>
      </c>
      <c r="DE54" s="18">
        <v>0.49203352056005051</v>
      </c>
      <c r="DF54" s="19">
        <v>3.612378405459804E-4</v>
      </c>
      <c r="DG54" s="19">
        <v>2.2519823351130341E-4</v>
      </c>
      <c r="DH54" s="19">
        <v>1.2012758682330427E-3</v>
      </c>
      <c r="DI54" s="20">
        <v>1.6769827302126616E-3</v>
      </c>
      <c r="DJ54" s="20">
        <v>1.5134097694964321E-3</v>
      </c>
      <c r="DK54" s="20">
        <v>3.5150675232893391E-3</v>
      </c>
    </row>
    <row r="55" spans="5:115" ht="15.75" x14ac:dyDescent="0.25">
      <c r="F55" s="1">
        <v>47</v>
      </c>
      <c r="G55" s="15">
        <v>4.8446782942100981E-2</v>
      </c>
      <c r="H55" s="15">
        <v>0.10481091811195074</v>
      </c>
      <c r="I55" s="15">
        <v>4.9807170053786196E-2</v>
      </c>
      <c r="J55" s="16">
        <v>0.15169066258165473</v>
      </c>
      <c r="K55" s="16">
        <v>8.7871828480965392E-2</v>
      </c>
      <c r="L55" s="16">
        <v>0.71803257271021492</v>
      </c>
      <c r="M55" s="17">
        <v>0.92243081190671994</v>
      </c>
      <c r="N55" s="17">
        <v>0.6112627677154403</v>
      </c>
      <c r="O55" s="17">
        <v>0.83180639056308048</v>
      </c>
      <c r="P55" s="18">
        <v>0.40372319118420269</v>
      </c>
      <c r="Q55" s="18">
        <v>0.873424317599515</v>
      </c>
      <c r="R55" s="18">
        <v>0.38313207733682952</v>
      </c>
      <c r="S55" s="19">
        <v>4.2612524591756351E-4</v>
      </c>
      <c r="T55" s="19">
        <v>9.2330380257754641E-4</v>
      </c>
      <c r="U55" s="19">
        <v>4.331066612967005E-4</v>
      </c>
      <c r="V55" s="20">
        <v>2.9718605436712675E-4</v>
      </c>
      <c r="W55" s="20">
        <v>6.5744983013849012E-4</v>
      </c>
      <c r="X55" s="20">
        <v>2.9574516219345037E-3</v>
      </c>
      <c r="AC55" s="1">
        <v>47</v>
      </c>
      <c r="AD55" s="15">
        <v>2.3362519859582518E-2</v>
      </c>
      <c r="AE55" s="15">
        <v>0.64012919684072045</v>
      </c>
      <c r="AF55" s="15">
        <v>1.3146665119974528</v>
      </c>
      <c r="AG55" s="16">
        <v>1.4391469717742383E-2</v>
      </c>
      <c r="AH55" s="16">
        <v>0.30366725817725193</v>
      </c>
      <c r="AI55" s="16">
        <v>0.70209388965707742</v>
      </c>
      <c r="AJ55" s="17">
        <v>1.0763264767029097</v>
      </c>
      <c r="AK55" s="17">
        <v>0.72002031894920693</v>
      </c>
      <c r="AL55" s="17">
        <v>0.79512887803106558</v>
      </c>
      <c r="AM55" s="18">
        <v>0.2014010332724365</v>
      </c>
      <c r="AN55" s="18">
        <v>0.32872131659036724</v>
      </c>
      <c r="AO55" s="18">
        <v>7.8512188071141062E-2</v>
      </c>
      <c r="AP55" s="19">
        <v>2.0657293620218731E-4</v>
      </c>
      <c r="AQ55" s="19">
        <v>1.131107142647747E-3</v>
      </c>
      <c r="AR55" s="19">
        <v>1.8352598568350809E-3</v>
      </c>
      <c r="AS55" s="20">
        <v>2.3169900053909842E-5</v>
      </c>
      <c r="AT55" s="20">
        <v>2.9743687815734221E-3</v>
      </c>
      <c r="AU55" s="20">
        <v>2.3247771358507747E-3</v>
      </c>
      <c r="AZ55" s="1">
        <v>47</v>
      </c>
      <c r="BA55" s="15">
        <v>7.5357268125364363E-2</v>
      </c>
      <c r="BB55" s="15">
        <v>0.76069252803540544</v>
      </c>
      <c r="BC55" s="15">
        <v>1.1466244890642068</v>
      </c>
      <c r="BD55" s="16">
        <v>0.93377430347377377</v>
      </c>
      <c r="BE55" s="16">
        <v>1.5267256326747642</v>
      </c>
      <c r="BF55" s="16">
        <v>3.6865242530887785E-2</v>
      </c>
      <c r="BG55" s="17">
        <v>0.55562310934422077</v>
      </c>
      <c r="BH55" s="17">
        <v>0.11686170494720688</v>
      </c>
      <c r="BI55" s="17">
        <v>1.284024264219171</v>
      </c>
      <c r="BJ55" s="18">
        <v>0.80167306516333481</v>
      </c>
      <c r="BK55" s="18">
        <v>1.5544071000595845</v>
      </c>
      <c r="BL55" s="18">
        <v>0.80366825167126876</v>
      </c>
      <c r="BM55" s="19">
        <v>6.8222274479257106E-4</v>
      </c>
      <c r="BN55" s="19">
        <v>7.3581469365702201E-4</v>
      </c>
      <c r="BO55" s="19">
        <v>1.8742689302436721E-3</v>
      </c>
      <c r="BP55" s="20">
        <v>2.1222601283907845E-3</v>
      </c>
      <c r="BQ55" s="20">
        <v>2.4805276522493758E-3</v>
      </c>
      <c r="BR55" s="20">
        <v>4.2460991916836175E-3</v>
      </c>
      <c r="BV55" s="1">
        <v>47</v>
      </c>
      <c r="BW55" s="15">
        <v>2.0622357830374884E-2</v>
      </c>
      <c r="BX55" s="15">
        <v>0.42102636185017484</v>
      </c>
      <c r="BY55" s="15">
        <v>0.73385775943275977</v>
      </c>
      <c r="BZ55" s="16">
        <v>0.50858829423057417</v>
      </c>
      <c r="CA55" s="16">
        <v>1.2405090062084339</v>
      </c>
      <c r="CB55" s="16">
        <v>1.0093287217228364</v>
      </c>
      <c r="CC55" s="17">
        <v>0.9104681287106644</v>
      </c>
      <c r="CD55" s="17">
        <v>0.88886199052586701</v>
      </c>
      <c r="CE55" s="17">
        <v>0.27207150458663965</v>
      </c>
      <c r="CF55" s="18">
        <v>0.25459701025154191</v>
      </c>
      <c r="CG55" s="18">
        <v>0.4110532327956235</v>
      </c>
      <c r="CH55" s="18">
        <v>0.2573790719483311</v>
      </c>
      <c r="CI55" s="19">
        <v>1.8948039313648746E-4</v>
      </c>
      <c r="CJ55" s="19">
        <v>8.4128487167767219E-6</v>
      </c>
      <c r="CK55" s="19">
        <v>9.6860793089903474E-4</v>
      </c>
      <c r="CL55" s="20">
        <v>1.4212624676740448E-3</v>
      </c>
      <c r="CM55" s="20">
        <v>5.3442636302537538E-3</v>
      </c>
      <c r="CN55" s="20">
        <v>1.0555820198835386E-3</v>
      </c>
      <c r="CS55" s="1">
        <v>47</v>
      </c>
      <c r="CT55" s="15">
        <v>4.1401564088812591E-2</v>
      </c>
      <c r="CU55" s="15">
        <v>0.61746421389860751</v>
      </c>
      <c r="CV55" s="15">
        <v>1.0534966672474186</v>
      </c>
      <c r="CW55" s="16">
        <v>0.69925485851091962</v>
      </c>
      <c r="CX55" s="16">
        <v>1.1198452558969805</v>
      </c>
      <c r="CY55" s="16">
        <v>0.10233006371171412</v>
      </c>
      <c r="CZ55" s="17">
        <v>0.91387833222325709</v>
      </c>
      <c r="DA55" s="17">
        <v>7.8769647693191724E-2</v>
      </c>
      <c r="DB55" s="17">
        <v>1.3297565367124653</v>
      </c>
      <c r="DC55" s="18">
        <v>0.53078928318997665</v>
      </c>
      <c r="DD55" s="18">
        <v>0.91026641997672997</v>
      </c>
      <c r="DE55" s="18">
        <v>0.46815611402015167</v>
      </c>
      <c r="DF55" s="19">
        <v>3.8156444724968264E-4</v>
      </c>
      <c r="DG55" s="19">
        <v>2.2096604078536419E-4</v>
      </c>
      <c r="DH55" s="19">
        <v>1.1841475970461035E-3</v>
      </c>
      <c r="DI55" s="20">
        <v>1.6267803484689702E-3</v>
      </c>
      <c r="DJ55" s="20">
        <v>1.5447208724181927E-3</v>
      </c>
      <c r="DK55" s="20">
        <v>3.5382854065579838E-3</v>
      </c>
    </row>
    <row r="56" spans="5:115" ht="15.75" x14ac:dyDescent="0.25">
      <c r="F56" s="1">
        <v>48</v>
      </c>
      <c r="G56" s="15">
        <v>5.1718764888611379E-2</v>
      </c>
      <c r="H56" s="15">
        <v>0.10184556090582918</v>
      </c>
      <c r="I56" s="15">
        <v>4.7932363050024379E-2</v>
      </c>
      <c r="J56" s="16">
        <v>0.14722937137051975</v>
      </c>
      <c r="K56" s="16">
        <v>6.9362179669489959E-2</v>
      </c>
      <c r="L56" s="16">
        <v>0.75693245907711804</v>
      </c>
      <c r="M56" s="17">
        <v>0.98246625699507717</v>
      </c>
      <c r="N56" s="17">
        <v>0.62414552237039123</v>
      </c>
      <c r="O56" s="17">
        <v>0.91783371109891221</v>
      </c>
      <c r="P56" s="18">
        <v>0.43098970740505321</v>
      </c>
      <c r="Q56" s="18">
        <v>0.84871300754868728</v>
      </c>
      <c r="R56" s="18">
        <v>0.36871048500021281</v>
      </c>
      <c r="S56" s="19">
        <v>4.5488986759867345E-4</v>
      </c>
      <c r="T56" s="19">
        <v>8.9715464815487422E-4</v>
      </c>
      <c r="U56" s="19">
        <v>4.1681177080399312E-4</v>
      </c>
      <c r="V56" s="20">
        <v>2.7491780503596797E-4</v>
      </c>
      <c r="W56" s="20">
        <v>5.8418323658937499E-4</v>
      </c>
      <c r="X56" s="20">
        <v>3.1006446510652985E-3</v>
      </c>
      <c r="AC56" s="1">
        <v>48</v>
      </c>
      <c r="AD56" s="15">
        <v>1.9886482963931942E-2</v>
      </c>
      <c r="AE56" s="15">
        <v>0.63873023585239708</v>
      </c>
      <c r="AF56" s="15">
        <v>1.3239852307767921</v>
      </c>
      <c r="AG56" s="16">
        <v>3.3959518810201865E-2</v>
      </c>
      <c r="AH56" s="16">
        <v>0.30025241657809387</v>
      </c>
      <c r="AI56" s="16">
        <v>0.6949743294098859</v>
      </c>
      <c r="AJ56" s="17">
        <v>1.2154472353315122</v>
      </c>
      <c r="AK56" s="17">
        <v>0.7136914101815981</v>
      </c>
      <c r="AL56" s="17">
        <v>0.94273000093866244</v>
      </c>
      <c r="AM56" s="18">
        <v>0.17143519796499562</v>
      </c>
      <c r="AN56" s="18">
        <v>0.34078132511045389</v>
      </c>
      <c r="AO56" s="18">
        <v>6.8297359222259926E-3</v>
      </c>
      <c r="AP56" s="19">
        <v>1.7583147609800953E-4</v>
      </c>
      <c r="AQ56" s="19">
        <v>1.1435375306837472E-3</v>
      </c>
      <c r="AR56" s="19">
        <v>1.7532725260084314E-3</v>
      </c>
      <c r="AS56" s="20">
        <v>3.6345465139642201E-5</v>
      </c>
      <c r="AT56" s="20">
        <v>2.9591729005523648E-3</v>
      </c>
      <c r="AU56" s="20">
        <v>2.3872408988175886E-3</v>
      </c>
      <c r="AZ56" s="1">
        <v>48</v>
      </c>
      <c r="BA56" s="15">
        <v>6.8910732321678381E-2</v>
      </c>
      <c r="BB56" s="15">
        <v>0.76039366802499553</v>
      </c>
      <c r="BC56" s="15">
        <v>1.1418705801386926</v>
      </c>
      <c r="BD56" s="16">
        <v>1.0341811369903622</v>
      </c>
      <c r="BE56" s="16">
        <v>1.6867928077017633</v>
      </c>
      <c r="BF56" s="16">
        <v>0.20775631850826196</v>
      </c>
      <c r="BG56" s="17">
        <v>0.52694341737099193</v>
      </c>
      <c r="BH56" s="17">
        <v>6.624048828719957E-2</v>
      </c>
      <c r="BI56" s="17">
        <v>1.328011495856517</v>
      </c>
      <c r="BJ56" s="18">
        <v>0.73309289703900105</v>
      </c>
      <c r="BK56" s="18">
        <v>1.5511586216855828</v>
      </c>
      <c r="BL56" s="18">
        <v>0.85370939825540926</v>
      </c>
      <c r="BM56" s="19">
        <v>6.2390129987954779E-4</v>
      </c>
      <c r="BN56" s="19">
        <v>7.3307803633770874E-4</v>
      </c>
      <c r="BO56" s="19">
        <v>1.917698615783836E-3</v>
      </c>
      <c r="BP56" s="20">
        <v>2.3867253638975017E-3</v>
      </c>
      <c r="BQ56" s="20">
        <v>3.0004386628390556E-3</v>
      </c>
      <c r="BR56" s="20">
        <v>3.5764652365690712E-3</v>
      </c>
      <c r="BV56" s="1">
        <v>48</v>
      </c>
      <c r="BW56" s="15">
        <v>0.17381595575714975</v>
      </c>
      <c r="BX56" s="15">
        <v>0.39914858355824284</v>
      </c>
      <c r="BY56" s="15">
        <v>0.89879514970752938</v>
      </c>
      <c r="BZ56" s="16">
        <v>0.42183935856432603</v>
      </c>
      <c r="CA56" s="16">
        <v>1.6521923277554473</v>
      </c>
      <c r="CB56" s="16">
        <v>0.29933760530513182</v>
      </c>
      <c r="CC56" s="17">
        <v>1.5933015661532282</v>
      </c>
      <c r="CD56" s="17">
        <v>0.37473489814095506</v>
      </c>
      <c r="CE56" s="17">
        <v>9.0181882880835187E-2</v>
      </c>
      <c r="CF56" s="18">
        <v>2.1458759970018328</v>
      </c>
      <c r="CG56" s="18">
        <v>0.15060349122484992</v>
      </c>
      <c r="CH56" s="18">
        <v>1.4430063948018432</v>
      </c>
      <c r="CI56" s="19">
        <v>1.5945969694453055E-3</v>
      </c>
      <c r="CJ56" s="19">
        <v>2.0961455107149085E-4</v>
      </c>
      <c r="CK56" s="19">
        <v>5.3267254271927023E-4</v>
      </c>
      <c r="CL56" s="20">
        <v>1.5972500181847815E-3</v>
      </c>
      <c r="CM56" s="20">
        <v>6.5929789385933413E-3</v>
      </c>
      <c r="CN56" s="20">
        <v>2.2926889476613255E-3</v>
      </c>
      <c r="CS56" s="1">
        <v>48</v>
      </c>
      <c r="CT56" s="15">
        <v>3.75472182152315E-2</v>
      </c>
      <c r="CU56" s="15">
        <v>0.61867412887773598</v>
      </c>
      <c r="CV56" s="15">
        <v>1.0501290556027258</v>
      </c>
      <c r="CW56" s="16">
        <v>0.69907215165353531</v>
      </c>
      <c r="CX56" s="16">
        <v>1.1216316120155783</v>
      </c>
      <c r="CY56" s="16">
        <v>0.10527546506914465</v>
      </c>
      <c r="CZ56" s="17">
        <v>0.88771626324702024</v>
      </c>
      <c r="DA56" s="17">
        <v>8.1319257188075256E-2</v>
      </c>
      <c r="DB56" s="17">
        <v>1.3035021478046331</v>
      </c>
      <c r="DC56" s="18">
        <v>0.48137459250287828</v>
      </c>
      <c r="DD56" s="18">
        <v>0.92639861969856641</v>
      </c>
      <c r="DE56" s="18">
        <v>0.51189133018488442</v>
      </c>
      <c r="DF56" s="19">
        <v>3.4605541776167037E-4</v>
      </c>
      <c r="DG56" s="19">
        <v>2.3223011576123387E-4</v>
      </c>
      <c r="DH56" s="19">
        <v>1.2155202281489697E-3</v>
      </c>
      <c r="DI56" s="20">
        <v>1.6359261836507155E-3</v>
      </c>
      <c r="DJ56" s="20">
        <v>1.546512914116005E-3</v>
      </c>
      <c r="DK56" s="20">
        <v>3.5147558725148187E-3</v>
      </c>
    </row>
    <row r="57" spans="5:115" ht="15.75" x14ac:dyDescent="0.25">
      <c r="F57" s="1">
        <v>49</v>
      </c>
      <c r="G57" s="15">
        <v>3.4730007546919898E-2</v>
      </c>
      <c r="H57" s="15">
        <v>0.11321933450863515</v>
      </c>
      <c r="I57" s="15">
        <v>4.5012337719598686E-2</v>
      </c>
      <c r="J57" s="16">
        <v>0.14839026399308614</v>
      </c>
      <c r="K57" s="16">
        <v>8.6359954109855988E-2</v>
      </c>
      <c r="L57" s="16">
        <v>0.71006675920131079</v>
      </c>
      <c r="M57" s="17">
        <v>0.93829045707979397</v>
      </c>
      <c r="N57" s="17">
        <v>0.62367370196764194</v>
      </c>
      <c r="O57" s="17">
        <v>0.87184259804266961</v>
      </c>
      <c r="P57" s="18">
        <v>0.28941672955769371</v>
      </c>
      <c r="Q57" s="18">
        <v>0.94349445423855172</v>
      </c>
      <c r="R57" s="18">
        <v>0.34624875168928404</v>
      </c>
      <c r="S57" s="19">
        <v>3.0551796000233272E-4</v>
      </c>
      <c r="T57" s="19">
        <v>9.9745946063922709E-4</v>
      </c>
      <c r="U57" s="19">
        <v>3.9143114585116207E-4</v>
      </c>
      <c r="V57" s="20">
        <v>3.2721292915904865E-4</v>
      </c>
      <c r="W57" s="20">
        <v>6.8102925023583172E-4</v>
      </c>
      <c r="X57" s="20">
        <v>2.9082715341668397E-3</v>
      </c>
      <c r="AC57" s="1">
        <v>49</v>
      </c>
      <c r="AD57" s="15">
        <v>2.6576067148845143E-3</v>
      </c>
      <c r="AE57" s="15">
        <v>0.63050804604754229</v>
      </c>
      <c r="AF57" s="15">
        <v>1.3305360395461825</v>
      </c>
      <c r="AG57" s="16">
        <v>0.10784959654695125</v>
      </c>
      <c r="AH57" s="16">
        <v>0.313213348003817</v>
      </c>
      <c r="AI57" s="16">
        <v>0.60484425536153652</v>
      </c>
      <c r="AJ57" s="17">
        <v>1.2172467757173213</v>
      </c>
      <c r="AK57" s="17">
        <v>0.66572486962684752</v>
      </c>
      <c r="AL57" s="17">
        <v>0.86557765565822031</v>
      </c>
      <c r="AM57" s="18">
        <v>2.2910402714305094E-2</v>
      </c>
      <c r="AN57" s="18">
        <v>0.41166227170400083</v>
      </c>
      <c r="AO57" s="18">
        <v>4.356110076529747E-2</v>
      </c>
      <c r="AP57" s="19">
        <v>2.3492619017906335E-5</v>
      </c>
      <c r="AQ57" s="19">
        <v>1.2165882554295848E-3</v>
      </c>
      <c r="AR57" s="19">
        <v>1.6956283669339323E-3</v>
      </c>
      <c r="AS57" s="20">
        <v>2.853257877551974E-4</v>
      </c>
      <c r="AT57" s="20">
        <v>2.9738448361706915E-3</v>
      </c>
      <c r="AU57" s="20">
        <v>2.753357590399963E-3</v>
      </c>
      <c r="AZ57" s="1">
        <v>49</v>
      </c>
      <c r="BA57" s="15">
        <v>6.9361136185238578E-2</v>
      </c>
      <c r="BB57" s="15">
        <v>0.76036262969872259</v>
      </c>
      <c r="BC57" s="15">
        <v>1.1423434737849436</v>
      </c>
      <c r="BD57" s="16">
        <v>0.94732229909389909</v>
      </c>
      <c r="BE57" s="16">
        <v>1.6102711433918084</v>
      </c>
      <c r="BF57" s="16">
        <v>2.8808547124130314E-2</v>
      </c>
      <c r="BG57" s="17">
        <v>0.63189275514947396</v>
      </c>
      <c r="BH57" s="17">
        <v>8.969426396169658E-2</v>
      </c>
      <c r="BI57" s="17">
        <v>1.4283122841590845</v>
      </c>
      <c r="BJ57" s="18">
        <v>0.73788442750242222</v>
      </c>
      <c r="BK57" s="18">
        <v>1.5508212485738411</v>
      </c>
      <c r="BL57" s="18">
        <v>0.84873157040031111</v>
      </c>
      <c r="BM57" s="19">
        <v>6.2797632232591827E-4</v>
      </c>
      <c r="BN57" s="19">
        <v>7.3279381972302104E-4</v>
      </c>
      <c r="BO57" s="19">
        <v>1.9133786480911574E-3</v>
      </c>
      <c r="BP57" s="20">
        <v>2.1707322011617065E-3</v>
      </c>
      <c r="BQ57" s="20">
        <v>2.7524226440924782E-3</v>
      </c>
      <c r="BR57" s="20">
        <v>4.2602957130483121E-3</v>
      </c>
      <c r="BV57" s="1">
        <v>49</v>
      </c>
      <c r="BW57" s="15">
        <v>2.0471744832283839E-2</v>
      </c>
      <c r="BX57" s="15">
        <v>0.42104685292556593</v>
      </c>
      <c r="BY57" s="15">
        <v>0.73307290166004924</v>
      </c>
      <c r="BZ57" s="16">
        <v>0.50246869003405981</v>
      </c>
      <c r="CA57" s="16">
        <v>1.239482315672068</v>
      </c>
      <c r="CB57" s="16">
        <v>1.0051781309696033</v>
      </c>
      <c r="CC57" s="17">
        <v>0.92145390320801013</v>
      </c>
      <c r="CD57" s="17">
        <v>0.88104748552461898</v>
      </c>
      <c r="CE57" s="17">
        <v>0.26988818457108216</v>
      </c>
      <c r="CF57" s="18">
        <v>0.25273759052202283</v>
      </c>
      <c r="CG57" s="18">
        <v>0.41129717416919509</v>
      </c>
      <c r="CH57" s="18">
        <v>0.26547038919292482</v>
      </c>
      <c r="CI57" s="19">
        <v>1.8809682830600583E-4</v>
      </c>
      <c r="CJ57" s="19">
        <v>8.2243585581842638E-6</v>
      </c>
      <c r="CK57" s="19">
        <v>9.7573987675447782E-4</v>
      </c>
      <c r="CL57" s="20">
        <v>1.4044260819096044E-3</v>
      </c>
      <c r="CM57" s="20">
        <v>5.3410358825053406E-3</v>
      </c>
      <c r="CN57" s="20">
        <v>1.0426622650120398E-3</v>
      </c>
      <c r="CS57" s="1">
        <v>49</v>
      </c>
      <c r="CT57" s="15">
        <v>4.0143352273146568E-2</v>
      </c>
      <c r="CU57" s="15">
        <v>0.61781325883892546</v>
      </c>
      <c r="CV57" s="15">
        <v>1.0524724766066198</v>
      </c>
      <c r="CW57" s="16">
        <v>0.69881756524558425</v>
      </c>
      <c r="CX57" s="16">
        <v>1.1137674118376708</v>
      </c>
      <c r="CY57" s="16">
        <v>8.7091687113739338E-2</v>
      </c>
      <c r="CZ57" s="17">
        <v>0.90597887756274276</v>
      </c>
      <c r="DA57" s="17">
        <v>8.5089621966688192E-2</v>
      </c>
      <c r="DB57" s="17">
        <v>1.335418037309152</v>
      </c>
      <c r="DC57" s="18">
        <v>0.51465836247623808</v>
      </c>
      <c r="DD57" s="18">
        <v>0.91492035251421588</v>
      </c>
      <c r="DE57" s="18">
        <v>0.48145729117323854</v>
      </c>
      <c r="DF57" s="19">
        <v>3.6997318831810677E-4</v>
      </c>
      <c r="DG57" s="19">
        <v>2.2421555367557744E-4</v>
      </c>
      <c r="DH57" s="19">
        <v>1.193689171173351E-3</v>
      </c>
      <c r="DI57" s="20">
        <v>1.6288316007181391E-3</v>
      </c>
      <c r="DJ57" s="20">
        <v>1.5249564247570291E-3</v>
      </c>
      <c r="DK57" s="20">
        <v>3.59095462188741E-3</v>
      </c>
    </row>
    <row r="58" spans="5:115" ht="15.75" x14ac:dyDescent="0.25">
      <c r="F58" s="1">
        <v>50</v>
      </c>
      <c r="G58" s="15">
        <v>5.3765523699027346E-2</v>
      </c>
      <c r="H58" s="15">
        <v>0.10324901881882395</v>
      </c>
      <c r="I58" s="15">
        <v>5.0270713116012757E-2</v>
      </c>
      <c r="J58" s="16">
        <v>0.13348458982531966</v>
      </c>
      <c r="K58" s="16">
        <v>0.10719726701864817</v>
      </c>
      <c r="L58" s="16">
        <v>0.67751829562112265</v>
      </c>
      <c r="M58" s="17">
        <v>0.93271366350278984</v>
      </c>
      <c r="N58" s="17">
        <v>0.58849519038369547</v>
      </c>
      <c r="O58" s="17">
        <v>0.81134154320371987</v>
      </c>
      <c r="P58" s="18">
        <v>0.44804603082524186</v>
      </c>
      <c r="Q58" s="18">
        <v>0.86040849015686593</v>
      </c>
      <c r="R58" s="18">
        <v>0.38669779320012349</v>
      </c>
      <c r="S58" s="19">
        <v>4.7288236087361657E-4</v>
      </c>
      <c r="T58" s="19">
        <v>9.0953044686781226E-4</v>
      </c>
      <c r="U58" s="19">
        <v>4.371354529998373E-4</v>
      </c>
      <c r="V58" s="20">
        <v>2.2946019132985551E-4</v>
      </c>
      <c r="W58" s="20">
        <v>7.1802359684280948E-4</v>
      </c>
      <c r="X58" s="20">
        <v>2.8026616885228339E-3</v>
      </c>
      <c r="AC58" s="1">
        <v>50</v>
      </c>
      <c r="AD58" s="15">
        <v>1.3354303508281921E-2</v>
      </c>
      <c r="AE58" s="15">
        <v>0.64790478774653826</v>
      </c>
      <c r="AF58" s="15">
        <v>1.3433162310322344</v>
      </c>
      <c r="AG58" s="16">
        <v>2.0574152339461107E-2</v>
      </c>
      <c r="AH58" s="16">
        <v>0.43314582452426847</v>
      </c>
      <c r="AI58" s="16">
        <v>0.50247939605670644</v>
      </c>
      <c r="AJ58" s="17">
        <v>1.1066685846766293</v>
      </c>
      <c r="AK58" s="17">
        <v>0.70119839764935621</v>
      </c>
      <c r="AL58" s="17">
        <v>0.83205657996534255</v>
      </c>
      <c r="AM58" s="18">
        <v>0.11512330610605197</v>
      </c>
      <c r="AN58" s="18">
        <v>0.26169036050573102</v>
      </c>
      <c r="AO58" s="18">
        <v>0.14187026604258243</v>
      </c>
      <c r="AP58" s="19">
        <v>1.1806781014722656E-4</v>
      </c>
      <c r="AQ58" s="19">
        <v>1.062011193340817E-3</v>
      </c>
      <c r="AR58" s="19">
        <v>1.5831464172706422E-3</v>
      </c>
      <c r="AS58" s="20">
        <v>8.762037394816069E-5</v>
      </c>
      <c r="AT58" s="20">
        <v>3.4066507812585689E-3</v>
      </c>
      <c r="AU58" s="20">
        <v>3.189273874191767E-3</v>
      </c>
      <c r="AZ58" s="1">
        <v>50</v>
      </c>
      <c r="BA58" s="15">
        <v>8.0474863598018864E-2</v>
      </c>
      <c r="BB58" s="15">
        <v>0.75932575656998369</v>
      </c>
      <c r="BC58" s="15">
        <v>1.1496704353781937</v>
      </c>
      <c r="BD58" s="16">
        <v>0.87936955000770411</v>
      </c>
      <c r="BE58" s="16">
        <v>1.5089551727046067</v>
      </c>
      <c r="BF58" s="16">
        <v>3.988282493277797E-2</v>
      </c>
      <c r="BG58" s="17">
        <v>0.5808613184748781</v>
      </c>
      <c r="BH58" s="17">
        <v>0.13497205773475984</v>
      </c>
      <c r="BI58" s="17">
        <v>1.2893482315329057</v>
      </c>
      <c r="BJ58" s="18">
        <v>0.85611557019148654</v>
      </c>
      <c r="BK58" s="18">
        <v>1.5395508884789531</v>
      </c>
      <c r="BL58" s="18">
        <v>0.77160565889241395</v>
      </c>
      <c r="BM58" s="19">
        <v>7.2851599194700967E-4</v>
      </c>
      <c r="BN58" s="19">
        <v>7.2329931938541758E-4</v>
      </c>
      <c r="BO58" s="19">
        <v>1.8464402674184255E-3</v>
      </c>
      <c r="BP58" s="20">
        <v>1.974938063399545E-3</v>
      </c>
      <c r="BQ58" s="20">
        <v>2.4273242476445804E-3</v>
      </c>
      <c r="BR58" s="20">
        <v>4.5500493774344166E-3</v>
      </c>
      <c r="BV58" s="1">
        <v>50</v>
      </c>
      <c r="BW58" s="15">
        <v>1.9994704222268254E-2</v>
      </c>
      <c r="BX58" s="15">
        <v>0.42251783651760866</v>
      </c>
      <c r="BY58" s="15">
        <v>0.73470517425202353</v>
      </c>
      <c r="BZ58" s="16">
        <v>0.51969605587384349</v>
      </c>
      <c r="CA58" s="16">
        <v>1.2434196824643455</v>
      </c>
      <c r="CB58" s="16">
        <v>0.97989619164630892</v>
      </c>
      <c r="CC58" s="17">
        <v>0.89014689503024313</v>
      </c>
      <c r="CD58" s="17">
        <v>0.87783388241279903</v>
      </c>
      <c r="CE58" s="17">
        <v>0.23217751703372486</v>
      </c>
      <c r="CF58" s="18">
        <v>0.24684820027491683</v>
      </c>
      <c r="CG58" s="18">
        <v>0.42880888359827518</v>
      </c>
      <c r="CH58" s="18">
        <v>0.24864283669835821</v>
      </c>
      <c r="CI58" s="19">
        <v>1.8371459861199479E-4</v>
      </c>
      <c r="CJ58" s="19">
        <v>5.3069021560547824E-6</v>
      </c>
      <c r="CK58" s="19">
        <v>9.609074070612289E-4</v>
      </c>
      <c r="CL58" s="20">
        <v>1.4494155548225862E-3</v>
      </c>
      <c r="CM58" s="20">
        <v>5.3584698746838022E-3</v>
      </c>
      <c r="CN58" s="20">
        <v>9.3944394677392129E-4</v>
      </c>
      <c r="CS58" s="1">
        <v>50</v>
      </c>
      <c r="CT58" s="15">
        <v>3.9051109075614515E-2</v>
      </c>
      <c r="CU58" s="15">
        <v>0.62102446957382285</v>
      </c>
      <c r="CV58" s="15">
        <v>1.0596642936955014</v>
      </c>
      <c r="CW58" s="16">
        <v>0.6718709984889687</v>
      </c>
      <c r="CX58" s="16">
        <v>1.1654930620915358</v>
      </c>
      <c r="CY58" s="16">
        <v>0.14225983735039172</v>
      </c>
      <c r="CZ58" s="17">
        <v>0.88338024484146593</v>
      </c>
      <c r="DA58" s="17">
        <v>8.1022899945008595E-2</v>
      </c>
      <c r="DB58" s="17">
        <v>1.2883447191466639</v>
      </c>
      <c r="DC58" s="18">
        <v>0.50065524455923205</v>
      </c>
      <c r="DD58" s="18">
        <v>0.95773649564640395</v>
      </c>
      <c r="DE58" s="18">
        <v>0.38805706923970978</v>
      </c>
      <c r="DF58" s="19">
        <v>3.5991067656637732E-4</v>
      </c>
      <c r="DG58" s="19">
        <v>2.5411211798720412E-4</v>
      </c>
      <c r="DH58" s="19">
        <v>1.1266845230535338E-3</v>
      </c>
      <c r="DI58" s="20">
        <v>1.5648912458556818E-3</v>
      </c>
      <c r="DJ58" s="20">
        <v>1.6742520538501893E-3</v>
      </c>
      <c r="DK58" s="20">
        <v>3.4132872576272399E-3</v>
      </c>
    </row>
    <row r="60" spans="5:115" x14ac:dyDescent="0.25">
      <c r="E60" t="s">
        <v>14</v>
      </c>
      <c r="G60" s="24" t="s">
        <v>24</v>
      </c>
      <c r="H60" s="24" t="s">
        <v>25</v>
      </c>
      <c r="I60" s="24" t="s">
        <v>26</v>
      </c>
      <c r="J60" s="24" t="s">
        <v>4</v>
      </c>
      <c r="K60" s="22" t="s">
        <v>27</v>
      </c>
      <c r="L60" s="22" t="s">
        <v>28</v>
      </c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AB60" t="s">
        <v>15</v>
      </c>
      <c r="AD60" s="24" t="s">
        <v>24</v>
      </c>
      <c r="AE60" s="24" t="s">
        <v>25</v>
      </c>
      <c r="AF60" s="24" t="s">
        <v>26</v>
      </c>
      <c r="AG60" s="24" t="s">
        <v>4</v>
      </c>
      <c r="AH60" s="22" t="s">
        <v>29</v>
      </c>
      <c r="AI60" s="22" t="s">
        <v>30</v>
      </c>
      <c r="AY60" t="s">
        <v>16</v>
      </c>
      <c r="BA60" s="24" t="s">
        <v>24</v>
      </c>
      <c r="BB60" s="24" t="s">
        <v>25</v>
      </c>
      <c r="BC60" s="24" t="s">
        <v>26</v>
      </c>
      <c r="BD60" s="24" t="s">
        <v>4</v>
      </c>
      <c r="BE60" s="22" t="s">
        <v>31</v>
      </c>
      <c r="BF60" s="22" t="s">
        <v>32</v>
      </c>
      <c r="BU60" t="s">
        <v>17</v>
      </c>
      <c r="BW60" s="24" t="s">
        <v>24</v>
      </c>
      <c r="BX60" s="24" t="s">
        <v>25</v>
      </c>
      <c r="BY60" s="24" t="s">
        <v>26</v>
      </c>
      <c r="BZ60" s="24" t="s">
        <v>4</v>
      </c>
      <c r="CA60" s="22" t="s">
        <v>33</v>
      </c>
      <c r="CB60" s="22" t="s">
        <v>34</v>
      </c>
      <c r="CR60" t="s">
        <v>18</v>
      </c>
      <c r="CT60" s="24" t="s">
        <v>24</v>
      </c>
      <c r="CU60" s="24" t="s">
        <v>25</v>
      </c>
      <c r="CV60" s="24" t="s">
        <v>26</v>
      </c>
      <c r="CW60" s="24" t="s">
        <v>4</v>
      </c>
      <c r="CX60" s="22" t="s">
        <v>35</v>
      </c>
      <c r="CY60" s="22" t="s">
        <v>32</v>
      </c>
    </row>
    <row r="61" spans="5:115" ht="15.75" x14ac:dyDescent="0.25">
      <c r="F61" s="23">
        <v>1</v>
      </c>
      <c r="G61" s="26">
        <f>AVERAGE(G$9:G$58)</f>
        <v>5.0162578780074324E-2</v>
      </c>
      <c r="H61" s="26">
        <f>AVERAGE(M$9:M$58)</f>
        <v>0.94415990716234832</v>
      </c>
      <c r="I61" s="26">
        <f>AVERAGE(J$9:J$58)</f>
        <v>0.14281216764337254</v>
      </c>
      <c r="J61" s="26">
        <f>AVERAGE(P$9:P$58)</f>
        <v>0.41802148983396065</v>
      </c>
      <c r="K61" s="26">
        <f>AVERAGE(S$9:S$58)</f>
        <v>4.4120068062053041E-4</v>
      </c>
      <c r="L61" s="26">
        <f>AVERAGE(V9:V$58)</f>
        <v>2.6669318942035725E-4</v>
      </c>
      <c r="AC61" s="23">
        <v>1</v>
      </c>
      <c r="AD61" s="26">
        <f>AVERAGE(AD$9:AD$58)</f>
        <v>1.7334600282070595E-2</v>
      </c>
      <c r="AE61" s="26">
        <f>AVERAGE(AJ$9:AJ$58)</f>
        <v>1.1223296925597506</v>
      </c>
      <c r="AF61" s="26">
        <f>AVERAGE(AG$9:AG$58)</f>
        <v>4.1402925224901174E-2</v>
      </c>
      <c r="AG61" s="26">
        <f>AVERAGE(AM$9:AM$58)</f>
        <v>0.14943620932833995</v>
      </c>
      <c r="AH61" s="26">
        <f>AVERAGE(AP$9:AP$58)</f>
        <v>1.5327063538696616E-4</v>
      </c>
      <c r="AI61" s="26">
        <f>AVERAGE(AS9:AS$58)</f>
        <v>8.6292966820893384E-5</v>
      </c>
      <c r="AZ61" s="23">
        <v>1</v>
      </c>
      <c r="BA61" s="26">
        <f>AVERAGE(BA$9:BA$58)</f>
        <v>6.4408662611736403E-2</v>
      </c>
      <c r="BB61" s="26">
        <f>AVERAGE(BG$9:BG$58)</f>
        <v>0.46871196709107432</v>
      </c>
      <c r="BC61" s="26">
        <f>AVERAGE(BD$9:BD$58)</f>
        <v>0.99451956182661116</v>
      </c>
      <c r="BD61" s="26">
        <f>AVERAGE(BJ$9:BJ$58)</f>
        <v>0.6851985384226269</v>
      </c>
      <c r="BE61" s="26">
        <f>AVERAGE(BM$9:BM$58)</f>
        <v>5.831528016181786E-4</v>
      </c>
      <c r="BF61" s="26">
        <f>AVERAGE(BP9:BP$58)</f>
        <v>2.2998794091828524E-3</v>
      </c>
      <c r="BV61" s="23">
        <v>1</v>
      </c>
      <c r="BW61" s="26">
        <f>AVERAGE(BW$9:BW$58)</f>
        <v>3.1708054698461025E-2</v>
      </c>
      <c r="BX61" s="26">
        <f>AVERAGE(CC$9:CC$58)</f>
        <v>0.91489866644652562</v>
      </c>
      <c r="BY61" s="26">
        <f>AVERAGE(BZ$9:BZ$58)</f>
        <v>0.55171624488197313</v>
      </c>
      <c r="BZ61" s="26">
        <f>AVERAGE(CF$9:CF$58)</f>
        <v>0.39145746541309273</v>
      </c>
      <c r="CA61" s="26">
        <f>AVERAGE(CI$9:CI$58)</f>
        <v>2.912151201625379E-4</v>
      </c>
      <c r="CB61" s="26">
        <f>AVERAGE(CL9:CL$58)</f>
        <v>1.5665932257478855E-3</v>
      </c>
      <c r="CS61" s="23">
        <v>1</v>
      </c>
      <c r="CT61" s="26">
        <f>AVERAGE(CT$9:CT$58)</f>
        <v>3.9357646170008934E-2</v>
      </c>
      <c r="CU61" s="26">
        <f>AVERAGE(CZ$9:CZ$58)</f>
        <v>0.90964092718683387</v>
      </c>
      <c r="CV61" s="26">
        <f>AVERAGE(CW$9:CW$58)</f>
        <v>0.70691420156780427</v>
      </c>
      <c r="CW61" s="26">
        <f>AVERAGE(DC$9:DC$58)</f>
        <v>0.50458520730781098</v>
      </c>
      <c r="CX61" s="26">
        <f>AVERAGE(DF$9:DF$58)</f>
        <v>3.6273413989186044E-4</v>
      </c>
      <c r="CY61" s="26">
        <f>AVERAGE(DI9:DI$58)</f>
        <v>1.6508186387488388E-3</v>
      </c>
    </row>
    <row r="62" spans="5:115" ht="15.75" x14ac:dyDescent="0.25">
      <c r="F62" s="23">
        <v>0.75</v>
      </c>
      <c r="G62" s="26">
        <f>AVERAGE(H$9:H$58)</f>
        <v>0.10272491877423551</v>
      </c>
      <c r="H62" s="26">
        <f>AVERAGE(N$9:N$58)</f>
        <v>0.60771702741001266</v>
      </c>
      <c r="I62" s="26">
        <f>AVERAGE(K$9:K$58)</f>
        <v>8.3469934092650605E-2</v>
      </c>
      <c r="J62" s="26">
        <f>AVERAGE(Q$9:Q$58)</f>
        <v>0.85604098978527576</v>
      </c>
      <c r="K62" s="26">
        <f>AVERAGE(T$9:T$58)</f>
        <v>9.0490951128781251E-4</v>
      </c>
      <c r="L62" s="26">
        <f>AVERAGE(W10:W$58)</f>
        <v>6.3474545722237566E-4</v>
      </c>
      <c r="AC62" s="23">
        <v>0.75</v>
      </c>
      <c r="AD62" s="26">
        <f>AVERAGE(AE$9:AE$58)</f>
        <v>0.63929150035702698</v>
      </c>
      <c r="AE62" s="26">
        <f>AVERAGE(AK$9:AK$58)</f>
        <v>0.70281859109818057</v>
      </c>
      <c r="AF62" s="26">
        <f>AVERAGE(AH$9:AH$58)</f>
        <v>0.31532453738845934</v>
      </c>
      <c r="AG62" s="26">
        <f>AVERAGE(AN$9:AN$58)</f>
        <v>0.33594283800154884</v>
      </c>
      <c r="AH62" s="26">
        <f>AVERAGE(AQ$9:AQ$58)</f>
        <v>1.1385496971675058E-3</v>
      </c>
      <c r="AI62" s="26">
        <f>AVERAGE(AT10:AT$58)</f>
        <v>3.0116139775385425E-3</v>
      </c>
      <c r="AZ62" s="23">
        <v>0.75</v>
      </c>
      <c r="BA62" s="26">
        <f>AVERAGE(BB$9:BB$58)</f>
        <v>0.7603517271258049</v>
      </c>
      <c r="BB62" s="26">
        <f>AVERAGE(BH$9:BH$58)</f>
        <v>6.9251584794155982E-2</v>
      </c>
      <c r="BC62" s="26">
        <f>AVERAGE(BE$9:BE$58)</f>
        <v>1.5989925570582004</v>
      </c>
      <c r="BD62" s="26">
        <f>AVERAGE(BK$9:BK$58)</f>
        <v>1.550702742346576</v>
      </c>
      <c r="BE62" s="26">
        <f>AVERAGE(BN$9:BN$58)</f>
        <v>7.3269505259881073E-4</v>
      </c>
      <c r="BF62" s="26">
        <f>AVERAGE(BQ10:BQ$58)</f>
        <v>2.7155870138117046E-3</v>
      </c>
      <c r="BV62" s="23">
        <v>0.75</v>
      </c>
      <c r="BW62" s="26">
        <f>AVERAGE(BX$9:BX$58)</f>
        <v>0.42130608621378796</v>
      </c>
      <c r="BX62" s="26">
        <f>AVERAGE(CD$9:CD$58)</f>
        <v>0.84202833638755858</v>
      </c>
      <c r="BY62" s="26">
        <f>AVERAGE(CA$9:CA$58)</f>
        <v>1.2612864587999946</v>
      </c>
      <c r="BZ62" s="26">
        <f>AVERAGE(CG$9:CG$58)</f>
        <v>0.41438328474331115</v>
      </c>
      <c r="CA62" s="26">
        <f>AVERAGE(CJ$9:CJ$58)</f>
        <v>1.9523507127199303E-5</v>
      </c>
      <c r="CB62" s="26">
        <f>AVERAGE(CM10:CM$58)</f>
        <v>5.4055127628596595E-3</v>
      </c>
      <c r="CS62" s="23">
        <v>0.75</v>
      </c>
      <c r="CT62" s="26">
        <f>AVERAGE(CU$9:CU$58)</f>
        <v>0.61793411404093457</v>
      </c>
      <c r="CU62" s="26">
        <f>AVERAGE(DA$9:DA$58)</f>
        <v>8.3864507332286925E-2</v>
      </c>
      <c r="CV62" s="26">
        <f>AVERAGE(CX$9:CX$58)</f>
        <v>1.1182206771664382</v>
      </c>
      <c r="CW62" s="26">
        <f>AVERAGE(DD$9:DD$58)</f>
        <v>0.91653175520780295</v>
      </c>
      <c r="CX62" s="26">
        <f>AVERAGE(DG$9:DG$58)</f>
        <v>2.2534075473430672E-4</v>
      </c>
      <c r="CY62" s="26">
        <f>AVERAGE(DJ10:DJ$58)</f>
        <v>1.5387583128228192E-3</v>
      </c>
    </row>
    <row r="63" spans="5:115" ht="15.75" x14ac:dyDescent="0.25">
      <c r="F63" s="23">
        <v>0.5</v>
      </c>
      <c r="G63" s="26">
        <f>AVERAGE(I$9:I$58)</f>
        <v>5.1202704289377371E-2</v>
      </c>
      <c r="H63" s="26">
        <f>AVERAGE(O$9:O$58)</f>
        <v>0.84845559668435366</v>
      </c>
      <c r="I63" s="26">
        <f>AVERAGE(L$9:L$58)</f>
        <v>0.71561989307382201</v>
      </c>
      <c r="J63" s="26">
        <f>AVERAGE(R$9:R$58)</f>
        <v>0.39386695607214245</v>
      </c>
      <c r="K63" s="26">
        <f>AVERAGE(U$9:U$58)</f>
        <v>4.4522409722757672E-4</v>
      </c>
      <c r="L63" s="26">
        <f>AVERAGE(X11:X$58)</f>
        <v>2.9608923021346573E-3</v>
      </c>
      <c r="AC63" s="23">
        <v>0.5</v>
      </c>
      <c r="AD63" s="26">
        <f>AVERAGE(AF$9:AF$58)</f>
        <v>1.3210048603919173</v>
      </c>
      <c r="AE63" s="26">
        <f>AVERAGE(AL$9:AL$58)</f>
        <v>0.82376909118079455</v>
      </c>
      <c r="AF63" s="26">
        <f>AVERAGE(AI$9:AI$58)</f>
        <v>0.66914723614291038</v>
      </c>
      <c r="AG63" s="26">
        <f>AVERAGE(AO$9:AO$58)</f>
        <v>6.8877874048896059E-2</v>
      </c>
      <c r="AH63" s="26">
        <f>AVERAGE(AR$9:AR$58)</f>
        <v>1.7794869211993981E-3</v>
      </c>
      <c r="AI63" s="26">
        <f>AVERAGE(AU11:AU$58)</f>
        <v>2.4634484377762506E-3</v>
      </c>
      <c r="AZ63" s="23">
        <v>0.5</v>
      </c>
      <c r="BA63" s="26">
        <f>AVERAGE(BC$9:BC$58)</f>
        <v>1.1313457752291156</v>
      </c>
      <c r="BB63" s="26">
        <f>AVERAGE(BI$9:BI$58)</f>
        <v>1.3058050160558221</v>
      </c>
      <c r="BC63" s="26">
        <f>AVERAGE(BF$9:BF$58)</f>
        <v>0.16002756255906206</v>
      </c>
      <c r="BD63" s="26">
        <f>AVERAGE(BL$9:BL$58)</f>
        <v>0.96449681835630874</v>
      </c>
      <c r="BE63" s="26">
        <f>AVERAGE(BO$9:BO$58)</f>
        <v>2.0138134511737626E-3</v>
      </c>
      <c r="BF63" s="26">
        <f>AVERAGE(BR11:BR$58)</f>
        <v>3.7682786922332311E-3</v>
      </c>
      <c r="BV63" s="23">
        <v>0.5</v>
      </c>
      <c r="BW63" s="26">
        <f>AVERAGE(BY$9:BY$58)</f>
        <v>0.74513000622539816</v>
      </c>
      <c r="BX63" s="26">
        <f>AVERAGE(CE$9:CE$58)</f>
        <v>0.20731605012714002</v>
      </c>
      <c r="BY63" s="26">
        <f>AVERAGE(CB$9:CB$58)</f>
        <v>0.88668720252318411</v>
      </c>
      <c r="BZ63" s="26">
        <f>AVERAGE(CH$9:CH$58)</f>
        <v>0.28910754931683291</v>
      </c>
      <c r="CA63" s="26">
        <f>AVERAGE(CK$9:CK$58)</f>
        <v>9.1263575915187186E-4</v>
      </c>
      <c r="CB63" s="26">
        <f>AVERAGE(CN11:CN$58)</f>
        <v>8.7539893919115486E-4</v>
      </c>
      <c r="CS63" s="23">
        <v>0.5</v>
      </c>
      <c r="CT63" s="26">
        <f>AVERAGE(CV$9:CV$58)</f>
        <v>1.0518270428547796</v>
      </c>
      <c r="CU63" s="26">
        <f>AVERAGE(DB$9:DB$58)</f>
        <v>1.334607910738141</v>
      </c>
      <c r="CV63" s="26">
        <f>AVERAGE(CY$9:CY$58)</f>
        <v>0.10318620524469503</v>
      </c>
      <c r="CW63" s="26">
        <f>AVERAGE(DE$9:DE$58)</f>
        <v>0.48983954769066917</v>
      </c>
      <c r="CX63" s="26">
        <f>AVERAGE(DH$9:DH$58)</f>
        <v>1.1997010933954932E-3</v>
      </c>
      <c r="CY63" s="26">
        <f>AVERAGE(DK11:DK$58)</f>
        <v>3.5260608996305945E-3</v>
      </c>
    </row>
    <row r="65" spans="33:38" x14ac:dyDescent="0.25">
      <c r="AG65" s="35" t="s">
        <v>20</v>
      </c>
      <c r="AH65" s="27" t="s">
        <v>23</v>
      </c>
      <c r="AI65" s="27" t="s">
        <v>6</v>
      </c>
    </row>
    <row r="66" spans="33:38" x14ac:dyDescent="0.25">
      <c r="AG66" s="35"/>
      <c r="AH66" s="29">
        <v>0.15</v>
      </c>
      <c r="AI66" s="29">
        <f>1/6</f>
        <v>0.16666666666666666</v>
      </c>
      <c r="AJ66" s="27"/>
      <c r="AK66" s="27"/>
      <c r="AL66" s="27"/>
    </row>
    <row r="67" spans="33:38" x14ac:dyDescent="0.25">
      <c r="AG67" s="27"/>
      <c r="AH67" s="25" t="s">
        <v>14</v>
      </c>
      <c r="AI67" s="25" t="s">
        <v>15</v>
      </c>
      <c r="AJ67" s="25" t="s">
        <v>16</v>
      </c>
      <c r="AK67" s="25" t="s">
        <v>17</v>
      </c>
      <c r="AL67" s="25" t="s">
        <v>18</v>
      </c>
    </row>
    <row r="68" spans="33:38" x14ac:dyDescent="0.25">
      <c r="AG68" s="27" t="s">
        <v>19</v>
      </c>
      <c r="AH68" s="28">
        <v>0.88</v>
      </c>
      <c r="AI68" s="28">
        <v>0.88400000000000001</v>
      </c>
      <c r="AJ68" s="28">
        <v>0.90600000000000003</v>
      </c>
      <c r="AK68" s="28">
        <v>0.91900000000000004</v>
      </c>
      <c r="AL68" s="28">
        <v>0.92200000000000004</v>
      </c>
    </row>
    <row r="69" spans="33:38" x14ac:dyDescent="0.25">
      <c r="AG69" s="27"/>
      <c r="AH69" s="30">
        <f>((1-AH68)*$AH$66)</f>
        <v>1.7999999999999999E-2</v>
      </c>
      <c r="AI69" s="30">
        <f>((1-AI68)*$AH$66)</f>
        <v>1.7399999999999999E-2</v>
      </c>
      <c r="AJ69" s="30">
        <f>((1-AJ68)*$AH$66)</f>
        <v>1.4099999999999994E-2</v>
      </c>
      <c r="AK69" s="30">
        <f>((1-AK68)*$AH$66)</f>
        <v>1.2149999999999994E-2</v>
      </c>
      <c r="AL69" s="30">
        <f>((1-AL68)*$AH$66)</f>
        <v>1.1699999999999993E-2</v>
      </c>
    </row>
    <row r="70" spans="33:38" x14ac:dyDescent="0.25">
      <c r="AG70" s="27" t="s">
        <v>21</v>
      </c>
      <c r="AH70" s="29">
        <f>AH68-AH69</f>
        <v>0.86199999999999999</v>
      </c>
      <c r="AI70" s="29">
        <f t="shared" ref="AI70:AL70" si="0">AI68-AI69</f>
        <v>0.86660000000000004</v>
      </c>
      <c r="AJ70" s="29">
        <f t="shared" si="0"/>
        <v>0.89190000000000003</v>
      </c>
      <c r="AK70" s="29">
        <f t="shared" si="0"/>
        <v>0.90685000000000004</v>
      </c>
      <c r="AL70" s="29">
        <f t="shared" si="0"/>
        <v>0.9103</v>
      </c>
    </row>
    <row r="71" spans="33:38" x14ac:dyDescent="0.25">
      <c r="AG71" s="27" t="s">
        <v>22</v>
      </c>
      <c r="AH71" s="29">
        <v>0.8</v>
      </c>
      <c r="AI71" s="29">
        <v>0.83</v>
      </c>
      <c r="AJ71" s="29">
        <v>0.84</v>
      </c>
      <c r="AK71" s="29">
        <v>0.82</v>
      </c>
      <c r="AL71" s="29">
        <v>0.84</v>
      </c>
    </row>
    <row r="72" spans="33:38" x14ac:dyDescent="0.25">
      <c r="AG72" s="27"/>
      <c r="AH72" s="31">
        <f>((1-AH71)*$AI$66)</f>
        <v>3.3333333333333326E-2</v>
      </c>
      <c r="AI72" s="31">
        <f>((1-AI71)*$AI$66)</f>
        <v>2.8333333333333339E-2</v>
      </c>
      <c r="AJ72" s="31">
        <f>((1-AJ71)*$AI$66)</f>
        <v>2.6666666666666672E-2</v>
      </c>
      <c r="AK72" s="31">
        <f>((1-AK71)*$AI$66)</f>
        <v>3.0000000000000006E-2</v>
      </c>
      <c r="AL72" s="31">
        <f>((1-AL71)*$AI$66)</f>
        <v>2.6666666666666672E-2</v>
      </c>
    </row>
    <row r="73" spans="33:38" x14ac:dyDescent="0.25">
      <c r="AG73" s="27" t="s">
        <v>21</v>
      </c>
      <c r="AH73" s="29">
        <f>AH71-AH72</f>
        <v>0.76666666666666672</v>
      </c>
      <c r="AI73" s="29">
        <f t="shared" ref="AI73:AL73" si="1">AI71-AI72</f>
        <v>0.80166666666666664</v>
      </c>
      <c r="AJ73" s="29">
        <f t="shared" si="1"/>
        <v>0.81333333333333324</v>
      </c>
      <c r="AK73" s="29">
        <f t="shared" si="1"/>
        <v>0.78999999999999992</v>
      </c>
      <c r="AL73" s="29">
        <f t="shared" si="1"/>
        <v>0.81333333333333324</v>
      </c>
    </row>
  </sheetData>
  <mergeCells count="41">
    <mergeCell ref="DI7:DK7"/>
    <mergeCell ref="DA6:DJ6"/>
    <mergeCell ref="CE6:CN6"/>
    <mergeCell ref="CT7:CV7"/>
    <mergeCell ref="CZ7:DB7"/>
    <mergeCell ref="DC7:DE7"/>
    <mergeCell ref="DF7:DH7"/>
    <mergeCell ref="CW7:CY7"/>
    <mergeCell ref="BP7:BR7"/>
    <mergeCell ref="BW7:BY7"/>
    <mergeCell ref="BZ7:CB7"/>
    <mergeCell ref="CC7:CE7"/>
    <mergeCell ref="CF7:CH7"/>
    <mergeCell ref="CI7:CK7"/>
    <mergeCell ref="CL7:CN7"/>
    <mergeCell ref="AP7:AR7"/>
    <mergeCell ref="K6:T6"/>
    <mergeCell ref="AJ4:AN4"/>
    <mergeCell ref="AS7:AU7"/>
    <mergeCell ref="BF6:BO6"/>
    <mergeCell ref="BA7:BC7"/>
    <mergeCell ref="BD7:BF7"/>
    <mergeCell ref="BG7:BI7"/>
    <mergeCell ref="BJ7:BL7"/>
    <mergeCell ref="BM7:BO7"/>
    <mergeCell ref="BG4:BK4"/>
    <mergeCell ref="CC4:CF4"/>
    <mergeCell ref="CY4:DD4"/>
    <mergeCell ref="AG65:AG66"/>
    <mergeCell ref="G7:I7"/>
    <mergeCell ref="J7:L7"/>
    <mergeCell ref="M7:O7"/>
    <mergeCell ref="P7:R7"/>
    <mergeCell ref="S7:U7"/>
    <mergeCell ref="V7:X7"/>
    <mergeCell ref="L4:R4"/>
    <mergeCell ref="AI6:AR6"/>
    <mergeCell ref="AD7:AF7"/>
    <mergeCell ref="AG7:AI7"/>
    <mergeCell ref="AJ7:AL7"/>
    <mergeCell ref="AM7:AO7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489EA-6C0C-4563-94D4-E517A73B6B35}">
  <dimension ref="E4:DK63"/>
  <sheetViews>
    <sheetView zoomScale="80" zoomScaleNormal="80" workbookViewId="0">
      <selection activeCell="D102" sqref="D102"/>
    </sheetView>
  </sheetViews>
  <sheetFormatPr defaultRowHeight="15" x14ac:dyDescent="0.25"/>
  <cols>
    <col min="5" max="5" width="10.28515625" bestFit="1" customWidth="1"/>
    <col min="36" max="36" width="9.85546875" customWidth="1"/>
  </cols>
  <sheetData>
    <row r="4" spans="6:115" x14ac:dyDescent="0.25">
      <c r="L4" s="34" t="s">
        <v>8</v>
      </c>
      <c r="M4" s="34"/>
      <c r="N4" s="34"/>
      <c r="O4" s="34"/>
      <c r="P4" s="34"/>
      <c r="Q4" s="34"/>
      <c r="R4" s="34"/>
      <c r="AM4" s="34" t="s">
        <v>9</v>
      </c>
      <c r="AN4" s="34"/>
      <c r="AO4" s="34"/>
      <c r="AP4" s="34"/>
      <c r="AQ4" s="34"/>
      <c r="AR4" s="34"/>
      <c r="AS4" s="34"/>
      <c r="BI4" s="34" t="s">
        <v>10</v>
      </c>
      <c r="BJ4" s="34"/>
      <c r="BK4" s="34"/>
      <c r="BL4" s="34"/>
      <c r="BM4" s="34"/>
      <c r="BN4" s="34"/>
      <c r="BO4" s="34"/>
      <c r="CF4" s="34" t="s">
        <v>11</v>
      </c>
      <c r="CG4" s="34"/>
      <c r="CH4" s="34"/>
      <c r="CI4" s="34"/>
      <c r="CJ4" s="34"/>
      <c r="CK4" s="34"/>
      <c r="CL4" s="34"/>
      <c r="DB4" s="34" t="s">
        <v>12</v>
      </c>
      <c r="DC4" s="34"/>
      <c r="DD4" s="34"/>
      <c r="DE4" s="34"/>
      <c r="DF4" s="34"/>
      <c r="DG4" s="34"/>
      <c r="DH4" s="34"/>
    </row>
    <row r="6" spans="6:115" ht="15.75" x14ac:dyDescent="0.25">
      <c r="F6" s="1"/>
      <c r="G6" s="1"/>
      <c r="H6" s="1"/>
      <c r="I6" s="1"/>
      <c r="J6" s="1"/>
      <c r="K6" s="42" t="s">
        <v>0</v>
      </c>
      <c r="L6" s="42"/>
      <c r="M6" s="42"/>
      <c r="N6" s="42"/>
      <c r="O6" s="42"/>
      <c r="P6" s="42"/>
      <c r="Q6" s="42"/>
      <c r="R6" s="42"/>
      <c r="S6" s="42"/>
      <c r="T6" s="42"/>
      <c r="U6" s="1"/>
      <c r="V6" s="1"/>
      <c r="W6" s="1"/>
      <c r="X6" s="1"/>
      <c r="AC6" s="1"/>
      <c r="AD6" s="1"/>
      <c r="AE6" s="1"/>
      <c r="AF6" s="1"/>
      <c r="AG6" s="1"/>
      <c r="AH6" s="1"/>
      <c r="AI6" s="42" t="s">
        <v>0</v>
      </c>
      <c r="AJ6" s="42"/>
      <c r="AK6" s="42"/>
      <c r="AL6" s="42"/>
      <c r="AM6" s="42"/>
      <c r="AN6" s="42"/>
      <c r="AO6" s="42"/>
      <c r="AP6" s="42"/>
      <c r="AQ6" s="42"/>
      <c r="AR6" s="42"/>
      <c r="AS6" s="1"/>
      <c r="AT6" s="1"/>
      <c r="AU6" s="1"/>
      <c r="AZ6" s="1"/>
      <c r="BA6" s="1"/>
      <c r="BB6" s="1"/>
      <c r="BC6" s="1"/>
      <c r="BD6" s="1"/>
      <c r="BE6" s="1"/>
      <c r="BF6" s="42" t="s">
        <v>0</v>
      </c>
      <c r="BG6" s="42"/>
      <c r="BH6" s="42"/>
      <c r="BI6" s="42"/>
      <c r="BJ6" s="42"/>
      <c r="BK6" s="42"/>
      <c r="BL6" s="42"/>
      <c r="BM6" s="42"/>
      <c r="BN6" s="42"/>
      <c r="BO6" s="42"/>
      <c r="BP6" s="1"/>
      <c r="BQ6" s="1"/>
      <c r="BR6" s="1"/>
      <c r="BV6" s="1"/>
      <c r="BW6" s="1"/>
      <c r="BX6" s="1"/>
      <c r="BY6" s="1"/>
      <c r="BZ6" s="1"/>
      <c r="CA6" s="1"/>
      <c r="CB6" s="1"/>
      <c r="CC6" s="1"/>
      <c r="CD6" s="1"/>
      <c r="CE6" s="42" t="s">
        <v>0</v>
      </c>
      <c r="CF6" s="42"/>
      <c r="CG6" s="42"/>
      <c r="CH6" s="42"/>
      <c r="CI6" s="42"/>
      <c r="CJ6" s="42"/>
      <c r="CK6" s="42"/>
      <c r="CL6" s="42"/>
      <c r="CM6" s="42"/>
      <c r="CN6" s="42"/>
      <c r="DA6" s="42" t="s">
        <v>0</v>
      </c>
      <c r="DB6" s="42"/>
      <c r="DC6" s="42"/>
      <c r="DD6" s="42"/>
      <c r="DE6" s="42"/>
      <c r="DF6" s="42"/>
      <c r="DG6" s="42"/>
      <c r="DH6" s="42"/>
      <c r="DI6" s="42"/>
      <c r="DJ6" s="42"/>
    </row>
    <row r="7" spans="6:115" ht="15.75" x14ac:dyDescent="0.25">
      <c r="F7" s="1"/>
      <c r="G7" s="36" t="s">
        <v>13</v>
      </c>
      <c r="H7" s="36"/>
      <c r="I7" s="36"/>
      <c r="J7" s="37" t="s">
        <v>2</v>
      </c>
      <c r="K7" s="37"/>
      <c r="L7" s="37"/>
      <c r="M7" s="38" t="s">
        <v>3</v>
      </c>
      <c r="N7" s="38"/>
      <c r="O7" s="38"/>
      <c r="P7" s="39" t="s">
        <v>4</v>
      </c>
      <c r="Q7" s="39"/>
      <c r="R7" s="39"/>
      <c r="S7" s="40" t="s">
        <v>5</v>
      </c>
      <c r="T7" s="40"/>
      <c r="U7" s="40"/>
      <c r="V7" s="41" t="s">
        <v>6</v>
      </c>
      <c r="W7" s="41"/>
      <c r="X7" s="41"/>
      <c r="AC7" s="1"/>
      <c r="AD7" s="36" t="s">
        <v>1</v>
      </c>
      <c r="AE7" s="36"/>
      <c r="AF7" s="36"/>
      <c r="AG7" s="37" t="s">
        <v>2</v>
      </c>
      <c r="AH7" s="37"/>
      <c r="AI7" s="37"/>
      <c r="AJ7" s="38" t="s">
        <v>3</v>
      </c>
      <c r="AK7" s="38"/>
      <c r="AL7" s="38"/>
      <c r="AM7" s="39" t="s">
        <v>4</v>
      </c>
      <c r="AN7" s="39"/>
      <c r="AO7" s="39"/>
      <c r="AP7" s="40" t="s">
        <v>5</v>
      </c>
      <c r="AQ7" s="40"/>
      <c r="AR7" s="40"/>
      <c r="AS7" s="41" t="s">
        <v>6</v>
      </c>
      <c r="AT7" s="41"/>
      <c r="AU7" s="41"/>
      <c r="AZ7" s="1"/>
      <c r="BA7" s="36" t="s">
        <v>1</v>
      </c>
      <c r="BB7" s="36"/>
      <c r="BC7" s="36"/>
      <c r="BD7" s="37" t="s">
        <v>2</v>
      </c>
      <c r="BE7" s="37"/>
      <c r="BF7" s="37"/>
      <c r="BG7" s="38" t="s">
        <v>3</v>
      </c>
      <c r="BH7" s="38"/>
      <c r="BI7" s="38"/>
      <c r="BJ7" s="39" t="s">
        <v>4</v>
      </c>
      <c r="BK7" s="39"/>
      <c r="BL7" s="39"/>
      <c r="BM7" s="40" t="s">
        <v>5</v>
      </c>
      <c r="BN7" s="40"/>
      <c r="BO7" s="40"/>
      <c r="BP7" s="41" t="s">
        <v>6</v>
      </c>
      <c r="BQ7" s="41"/>
      <c r="BR7" s="41"/>
      <c r="BV7" s="1"/>
      <c r="BW7" s="36" t="s">
        <v>1</v>
      </c>
      <c r="BX7" s="36"/>
      <c r="BY7" s="36"/>
      <c r="BZ7" s="37" t="s">
        <v>2</v>
      </c>
      <c r="CA7" s="37"/>
      <c r="CB7" s="37"/>
      <c r="CC7" s="38" t="s">
        <v>3</v>
      </c>
      <c r="CD7" s="38"/>
      <c r="CE7" s="38"/>
      <c r="CF7" s="39" t="s">
        <v>4</v>
      </c>
      <c r="CG7" s="39"/>
      <c r="CH7" s="39"/>
      <c r="CI7" s="40" t="s">
        <v>5</v>
      </c>
      <c r="CJ7" s="40"/>
      <c r="CK7" s="40"/>
      <c r="CL7" s="41" t="s">
        <v>6</v>
      </c>
      <c r="CM7" s="41"/>
      <c r="CN7" s="41"/>
      <c r="CS7" s="1"/>
      <c r="CT7" s="36" t="s">
        <v>1</v>
      </c>
      <c r="CU7" s="36"/>
      <c r="CV7" s="36"/>
      <c r="CW7" s="37" t="s">
        <v>2</v>
      </c>
      <c r="CX7" s="37"/>
      <c r="CY7" s="37"/>
      <c r="CZ7" s="38" t="s">
        <v>3</v>
      </c>
      <c r="DA7" s="38"/>
      <c r="DB7" s="38"/>
      <c r="DC7" s="39" t="s">
        <v>4</v>
      </c>
      <c r="DD7" s="39"/>
      <c r="DE7" s="39"/>
      <c r="DF7" s="40" t="s">
        <v>5</v>
      </c>
      <c r="DG7" s="40"/>
      <c r="DH7" s="40"/>
      <c r="DI7" s="41" t="s">
        <v>6</v>
      </c>
      <c r="DJ7" s="41"/>
      <c r="DK7" s="41"/>
    </row>
    <row r="8" spans="6:115" ht="15.75" x14ac:dyDescent="0.25">
      <c r="F8" s="1" t="s">
        <v>7</v>
      </c>
      <c r="G8" s="8">
        <v>1</v>
      </c>
      <c r="H8" s="8">
        <v>0.75</v>
      </c>
      <c r="I8" s="8">
        <v>0.5</v>
      </c>
      <c r="J8" s="9">
        <v>1</v>
      </c>
      <c r="K8" s="9">
        <v>0.75</v>
      </c>
      <c r="L8" s="9">
        <v>0.5</v>
      </c>
      <c r="M8" s="10">
        <v>1</v>
      </c>
      <c r="N8" s="10">
        <v>0.75</v>
      </c>
      <c r="O8" s="10">
        <v>0.5</v>
      </c>
      <c r="P8" s="11">
        <v>1</v>
      </c>
      <c r="Q8" s="11">
        <v>0.75</v>
      </c>
      <c r="R8" s="11">
        <v>0.5</v>
      </c>
      <c r="S8" s="12">
        <v>1</v>
      </c>
      <c r="T8" s="12">
        <v>0.75</v>
      </c>
      <c r="U8" s="12">
        <v>0.5</v>
      </c>
      <c r="V8" s="13">
        <v>1</v>
      </c>
      <c r="W8" s="14">
        <v>0.75</v>
      </c>
      <c r="X8" s="14">
        <v>0.5</v>
      </c>
      <c r="AC8" s="1" t="s">
        <v>7</v>
      </c>
      <c r="AD8" s="2">
        <v>1</v>
      </c>
      <c r="AE8" s="2">
        <v>0.75</v>
      </c>
      <c r="AF8" s="2">
        <v>0.5</v>
      </c>
      <c r="AG8" s="3">
        <v>1</v>
      </c>
      <c r="AH8" s="3">
        <v>0.75</v>
      </c>
      <c r="AI8" s="3">
        <v>0.5</v>
      </c>
      <c r="AJ8" s="4">
        <v>1</v>
      </c>
      <c r="AK8" s="4">
        <v>0.75</v>
      </c>
      <c r="AL8" s="4">
        <v>0.5</v>
      </c>
      <c r="AM8" s="5">
        <v>1</v>
      </c>
      <c r="AN8" s="5">
        <v>0.75</v>
      </c>
      <c r="AO8" s="5">
        <v>0.5</v>
      </c>
      <c r="AP8" s="6">
        <v>1</v>
      </c>
      <c r="AQ8" s="6">
        <v>0.75</v>
      </c>
      <c r="AR8" s="6">
        <v>0.5</v>
      </c>
      <c r="AS8" s="21">
        <v>1</v>
      </c>
      <c r="AT8" s="7">
        <v>0.75</v>
      </c>
      <c r="AU8" s="7">
        <v>0.5</v>
      </c>
      <c r="AZ8" s="1" t="s">
        <v>7</v>
      </c>
      <c r="BA8" s="2">
        <v>1</v>
      </c>
      <c r="BB8" s="2">
        <v>0.75</v>
      </c>
      <c r="BC8" s="2">
        <v>0.5</v>
      </c>
      <c r="BD8" s="3">
        <v>1</v>
      </c>
      <c r="BE8" s="3">
        <v>0.75</v>
      </c>
      <c r="BF8" s="3">
        <v>0.5</v>
      </c>
      <c r="BG8" s="4">
        <v>1</v>
      </c>
      <c r="BH8" s="4">
        <v>0.75</v>
      </c>
      <c r="BI8" s="4">
        <v>0.5</v>
      </c>
      <c r="BJ8" s="5">
        <v>1</v>
      </c>
      <c r="BK8" s="5">
        <v>0.75</v>
      </c>
      <c r="BL8" s="5">
        <v>0.5</v>
      </c>
      <c r="BM8" s="6">
        <v>1</v>
      </c>
      <c r="BN8" s="6">
        <v>0.75</v>
      </c>
      <c r="BO8" s="6">
        <v>0.5</v>
      </c>
      <c r="BP8" s="21">
        <v>1</v>
      </c>
      <c r="BQ8" s="7">
        <v>0.75</v>
      </c>
      <c r="BR8" s="7">
        <v>0.5</v>
      </c>
      <c r="BV8" s="1" t="s">
        <v>7</v>
      </c>
      <c r="BW8" s="2">
        <v>1</v>
      </c>
      <c r="BX8" s="2">
        <v>0.75</v>
      </c>
      <c r="BY8" s="2">
        <v>0.5</v>
      </c>
      <c r="BZ8" s="3">
        <v>1</v>
      </c>
      <c r="CA8" s="3">
        <v>0.75</v>
      </c>
      <c r="CB8" s="3">
        <v>0.5</v>
      </c>
      <c r="CC8" s="4">
        <v>1</v>
      </c>
      <c r="CD8" s="4">
        <v>0.75</v>
      </c>
      <c r="CE8" s="4">
        <v>0.5</v>
      </c>
      <c r="CF8" s="5">
        <v>1</v>
      </c>
      <c r="CG8" s="5">
        <v>0.75</v>
      </c>
      <c r="CH8" s="5">
        <v>0.5</v>
      </c>
      <c r="CI8" s="6">
        <v>1</v>
      </c>
      <c r="CJ8" s="6">
        <v>0.75</v>
      </c>
      <c r="CK8" s="6">
        <v>0.5</v>
      </c>
      <c r="CL8" s="21">
        <v>1</v>
      </c>
      <c r="CM8" s="7">
        <v>0.75</v>
      </c>
      <c r="CN8" s="7">
        <v>0.5</v>
      </c>
      <c r="CS8" s="1" t="s">
        <v>7</v>
      </c>
      <c r="CT8" s="2">
        <v>1</v>
      </c>
      <c r="CU8" s="2">
        <v>0.75</v>
      </c>
      <c r="CV8" s="2">
        <v>0.5</v>
      </c>
      <c r="CW8" s="3">
        <v>1</v>
      </c>
      <c r="CX8" s="3">
        <v>0.75</v>
      </c>
      <c r="CY8" s="3">
        <v>0.5</v>
      </c>
      <c r="CZ8" s="4">
        <v>1</v>
      </c>
      <c r="DA8" s="4">
        <v>0.75</v>
      </c>
      <c r="DB8" s="4">
        <v>0.5</v>
      </c>
      <c r="DC8" s="5">
        <v>1</v>
      </c>
      <c r="DD8" s="5">
        <v>0.75</v>
      </c>
      <c r="DE8" s="5">
        <v>0.5</v>
      </c>
      <c r="DF8" s="6">
        <v>1</v>
      </c>
      <c r="DG8" s="6">
        <v>0.75</v>
      </c>
      <c r="DH8" s="6">
        <v>0.5</v>
      </c>
      <c r="DI8" s="21">
        <v>1</v>
      </c>
      <c r="DJ8" s="7">
        <v>0.75</v>
      </c>
      <c r="DK8" s="7">
        <v>0.5</v>
      </c>
    </row>
    <row r="9" spans="6:115" ht="15.75" x14ac:dyDescent="0.25">
      <c r="F9" s="1">
        <v>1</v>
      </c>
      <c r="G9" s="15">
        <v>5.0309982201964885E-2</v>
      </c>
      <c r="H9" s="15">
        <v>0.10300437625821116</v>
      </c>
      <c r="I9" s="15">
        <v>5.1900717350935342E-2</v>
      </c>
      <c r="J9" s="16">
        <v>0.14331634356893003</v>
      </c>
      <c r="K9" s="16">
        <v>9.1207033282089178E-2</v>
      </c>
      <c r="L9" s="16">
        <v>0.70896666441116762</v>
      </c>
      <c r="M9" s="17">
        <v>0.95044212961005647</v>
      </c>
      <c r="N9" s="17">
        <v>0.59711976750977025</v>
      </c>
      <c r="O9" s="17">
        <v>0.83776764600978315</v>
      </c>
      <c r="P9" s="18">
        <v>0.41924985168301299</v>
      </c>
      <c r="Q9" s="18">
        <v>0.85836980215179637</v>
      </c>
      <c r="R9" s="18">
        <v>0.39923628731483646</v>
      </c>
      <c r="S9" s="19">
        <v>4.425052190802909E-4</v>
      </c>
      <c r="T9" s="19">
        <v>9.0737314512068235E-4</v>
      </c>
      <c r="U9" s="19">
        <v>4.513020119715217E-4</v>
      </c>
      <c r="V9" s="20">
        <v>2.6771362409416799E-4</v>
      </c>
      <c r="W9" s="20">
        <v>6.6265173690560619E-4</v>
      </c>
      <c r="X9" s="20">
        <v>2.9304411700155075E-3</v>
      </c>
      <c r="AC9" s="1">
        <v>1</v>
      </c>
      <c r="AD9" s="15">
        <v>5.8805579286347895E-3</v>
      </c>
      <c r="AE9" s="15">
        <v>0.6368555236607959</v>
      </c>
      <c r="AF9" s="15">
        <v>1.3270989126297761</v>
      </c>
      <c r="AG9" s="16">
        <v>0.14823632385553001</v>
      </c>
      <c r="AH9" s="16">
        <v>0.26779508378195055</v>
      </c>
      <c r="AI9" s="16">
        <v>0.66703833238305998</v>
      </c>
      <c r="AJ9" s="17">
        <v>1.1100746749581973</v>
      </c>
      <c r="AK9" s="17">
        <v>0.71236054456280806</v>
      </c>
      <c r="AL9" s="17">
        <v>0.84608364766551103</v>
      </c>
      <c r="AM9" s="18">
        <v>5.0694464902283999E-2</v>
      </c>
      <c r="AN9" s="18">
        <v>0.35694263710694313</v>
      </c>
      <c r="AO9" s="18">
        <v>1.7121662946881489E-2</v>
      </c>
      <c r="AP9" s="19">
        <v>5.1987189226165853E-5</v>
      </c>
      <c r="AQ9" s="19">
        <v>1.1601946300775492E-3</v>
      </c>
      <c r="AR9" s="19">
        <v>1.7258744861265995E-3</v>
      </c>
      <c r="AS9" s="20">
        <v>3.67585090233713E-4</v>
      </c>
      <c r="AT9" s="20">
        <v>2.8510355198188009E-3</v>
      </c>
      <c r="AU9" s="20">
        <v>2.5048707194449404E-3</v>
      </c>
      <c r="AZ9" s="1">
        <v>1</v>
      </c>
      <c r="BA9" s="15">
        <v>4.8552702123436035E-2</v>
      </c>
      <c r="BB9" s="15">
        <v>0.76057801612852605</v>
      </c>
      <c r="BC9" s="15">
        <v>1.1059526922718756</v>
      </c>
      <c r="BD9" s="16">
        <v>1.0679932745469609</v>
      </c>
      <c r="BE9" s="16">
        <v>1.6040446379521636</v>
      </c>
      <c r="BF9" s="16">
        <v>0.29263470572125366</v>
      </c>
      <c r="BG9" s="17">
        <v>0.31399816249644541</v>
      </c>
      <c r="BH9" s="17">
        <v>9.6657360280209669E-3</v>
      </c>
      <c r="BI9" s="17">
        <v>1.228268896478641</v>
      </c>
      <c r="BJ9" s="18">
        <v>0.51651810769601181</v>
      </c>
      <c r="BK9" s="18">
        <v>1.5531624054195707</v>
      </c>
      <c r="BL9" s="18">
        <v>1.2317924284324613</v>
      </c>
      <c r="BM9" s="19">
        <v>4.3967400762690007E-4</v>
      </c>
      <c r="BN9" s="19">
        <v>7.3476610763234529E-4</v>
      </c>
      <c r="BO9" s="19">
        <v>2.24569417991205E-3</v>
      </c>
      <c r="BP9" s="20">
        <v>2.5212532021198224E-3</v>
      </c>
      <c r="BQ9" s="20">
        <v>2.7315434699833885E-3</v>
      </c>
      <c r="BR9" s="20">
        <v>3.1143870657299733E-3</v>
      </c>
      <c r="BV9" s="1">
        <v>1</v>
      </c>
      <c r="BW9" s="15">
        <v>5.0894963487308278E-2</v>
      </c>
      <c r="BX9" s="15">
        <v>0.42310001731115227</v>
      </c>
      <c r="BY9" s="15">
        <v>0.77664958321287725</v>
      </c>
      <c r="BZ9" s="16">
        <v>0.66373880276530839</v>
      </c>
      <c r="CA9" s="16">
        <v>1.3556638379111983</v>
      </c>
      <c r="CB9" s="16">
        <v>0.62245003978330704</v>
      </c>
      <c r="CC9" s="17">
        <v>1.029891072593524</v>
      </c>
      <c r="CD9" s="17">
        <v>0.77258804956697436</v>
      </c>
      <c r="CE9" s="17">
        <v>0.23879964439253035</v>
      </c>
      <c r="CF9" s="18">
        <v>0.62833288255941344</v>
      </c>
      <c r="CG9" s="18">
        <v>0.43573960733089323</v>
      </c>
      <c r="CH9" s="18">
        <v>0.18377375052698008</v>
      </c>
      <c r="CI9" s="19">
        <v>4.6748678721875159E-4</v>
      </c>
      <c r="CJ9" s="19">
        <v>1.0662368097991148E-5</v>
      </c>
      <c r="CK9" s="19">
        <v>5.7959094839021841E-4</v>
      </c>
      <c r="CL9" s="20">
        <v>1.9186186363091551E-3</v>
      </c>
      <c r="CM9" s="20">
        <v>5.7204987466374924E-3</v>
      </c>
      <c r="CN9" s="20">
        <v>5.9010037464701792E-4</v>
      </c>
      <c r="CS9" s="1">
        <v>1</v>
      </c>
      <c r="CT9" s="15">
        <v>4.212014080670512E-2</v>
      </c>
      <c r="CU9" s="15">
        <v>0.61756783051490372</v>
      </c>
      <c r="CV9" s="15">
        <v>1.0536893868457373</v>
      </c>
      <c r="CW9" s="16">
        <v>0.6794109494776468</v>
      </c>
      <c r="CX9" s="16">
        <v>1.1103290966147819</v>
      </c>
      <c r="CY9" s="16">
        <v>8.390599886390171E-2</v>
      </c>
      <c r="CZ9" s="17">
        <v>0.91670585697564921</v>
      </c>
      <c r="DA9" s="17">
        <v>7.394116109038007E-2</v>
      </c>
      <c r="DB9" s="17">
        <v>1.3311040314761058</v>
      </c>
      <c r="DC9" s="18">
        <v>0.54000180521413232</v>
      </c>
      <c r="DD9" s="18">
        <v>0.91164797486069149</v>
      </c>
      <c r="DE9" s="18">
        <v>0.46565326209391927</v>
      </c>
      <c r="DF9" s="19">
        <v>3.8818419450858954E-4</v>
      </c>
      <c r="DG9" s="19">
        <v>2.2193068074971567E-4</v>
      </c>
      <c r="DH9" s="19">
        <v>1.1823521588969488E-3</v>
      </c>
      <c r="DI9" s="20">
        <v>1.5759028664645847E-3</v>
      </c>
      <c r="DJ9" s="20">
        <v>1.5151310615673097E-3</v>
      </c>
      <c r="DK9" s="20">
        <v>3.6073225154434896E-3</v>
      </c>
    </row>
    <row r="10" spans="6:115" ht="15.75" x14ac:dyDescent="0.25">
      <c r="F10" s="1">
        <v>2</v>
      </c>
      <c r="G10" s="15">
        <v>6.3994435869234936E-2</v>
      </c>
      <c r="H10" s="15">
        <v>9.8764555375305152E-2</v>
      </c>
      <c r="I10" s="15">
        <v>3.6368764656759589E-2</v>
      </c>
      <c r="J10" s="16">
        <v>0.10291224118378242</v>
      </c>
      <c r="K10" s="16">
        <v>9.1431447239550004E-2</v>
      </c>
      <c r="L10" s="16">
        <v>0.64498969547285345</v>
      </c>
      <c r="M10" s="17">
        <v>1.0319696583429572</v>
      </c>
      <c r="N10" s="17">
        <v>0.57037976320700923</v>
      </c>
      <c r="O10" s="17">
        <v>0.87567858101268503</v>
      </c>
      <c r="P10" s="18">
        <v>0.53328696557701338</v>
      </c>
      <c r="Q10" s="18">
        <v>0.82303796146078323</v>
      </c>
      <c r="R10" s="18">
        <v>0.27975972812885652</v>
      </c>
      <c r="S10" s="19">
        <v>5.6279088079991279E-4</v>
      </c>
      <c r="T10" s="19">
        <v>8.6998732641740961E-4</v>
      </c>
      <c r="U10" s="19">
        <v>3.1629322057680215E-4</v>
      </c>
      <c r="V10" s="20">
        <v>1.120098518736512E-4</v>
      </c>
      <c r="W10" s="20">
        <v>6.4892883897238463E-4</v>
      </c>
      <c r="X10" s="20">
        <v>2.6236674544541927E-3</v>
      </c>
      <c r="AC10" s="1">
        <v>2</v>
      </c>
      <c r="AD10" s="15">
        <v>6.228112348781906E-4</v>
      </c>
      <c r="AE10" s="15">
        <v>0.63690499854799254</v>
      </c>
      <c r="AF10" s="15">
        <v>1.343090302110683</v>
      </c>
      <c r="AG10" s="16">
        <v>9.9864532559492805E-2</v>
      </c>
      <c r="AH10" s="16">
        <v>0.33290249023407686</v>
      </c>
      <c r="AI10" s="16">
        <v>0.5704939171727903</v>
      </c>
      <c r="AJ10" s="17">
        <v>1.2087171232120919</v>
      </c>
      <c r="AK10" s="17">
        <v>0.67640630410939429</v>
      </c>
      <c r="AL10" s="17">
        <v>0.87909884218333834</v>
      </c>
      <c r="AM10" s="18">
        <v>5.369062369812853E-3</v>
      </c>
      <c r="AN10" s="18">
        <v>0.35651612945872524</v>
      </c>
      <c r="AO10" s="18">
        <v>0.1401323512615503</v>
      </c>
      <c r="AP10" s="19">
        <v>5.5056856066437732E-6</v>
      </c>
      <c r="AQ10" s="19">
        <v>1.1597550463490201E-3</v>
      </c>
      <c r="AR10" s="19">
        <v>1.5851351323418195E-3</v>
      </c>
      <c r="AS10" s="20">
        <v>2.56248083733146E-4</v>
      </c>
      <c r="AT10" s="20">
        <v>3.0561517191444176E-3</v>
      </c>
      <c r="AU10" s="20">
        <v>2.9311785049734862E-3</v>
      </c>
      <c r="AZ10" s="1">
        <v>2</v>
      </c>
      <c r="BA10" s="15">
        <v>8.1412505562551099E-2</v>
      </c>
      <c r="BB10" s="15">
        <v>0.75389147439807513</v>
      </c>
      <c r="BC10" s="15">
        <v>1.1367453220093682</v>
      </c>
      <c r="BD10" s="16">
        <v>1.0046505724297889</v>
      </c>
      <c r="BE10" s="16">
        <v>1.5206088381549223</v>
      </c>
      <c r="BF10" s="16">
        <v>8.1118843500447041E-2</v>
      </c>
      <c r="BG10" s="17">
        <v>0.52124844936226278</v>
      </c>
      <c r="BH10" s="17">
        <v>0.13222531216280706</v>
      </c>
      <c r="BI10" s="17">
        <v>1.2039388027807889</v>
      </c>
      <c r="BJ10" s="18">
        <v>0.8660904847079185</v>
      </c>
      <c r="BK10" s="18">
        <v>1.4804826040017467</v>
      </c>
      <c r="BL10" s="18">
        <v>0.90765948382730621</v>
      </c>
      <c r="BM10" s="19">
        <v>7.369972924348156E-4</v>
      </c>
      <c r="BN10" s="19">
        <v>6.7354161202481944E-4</v>
      </c>
      <c r="BO10" s="19">
        <v>1.9645161105314997E-3</v>
      </c>
      <c r="BP10" s="20">
        <v>2.2824590837748904E-3</v>
      </c>
      <c r="BQ10" s="20">
        <v>2.4825753112803768E-3</v>
      </c>
      <c r="BR10" s="20">
        <v>4.039476166523337E-3</v>
      </c>
      <c r="BV10" s="1">
        <v>2</v>
      </c>
      <c r="BW10" s="15">
        <v>1.8043666576215537E-2</v>
      </c>
      <c r="BX10" s="15">
        <v>0.42273446627710332</v>
      </c>
      <c r="BY10" s="15">
        <v>0.727893230832514</v>
      </c>
      <c r="BZ10" s="16">
        <v>0.50357283888903015</v>
      </c>
      <c r="CA10" s="16">
        <v>1.2186591589522755</v>
      </c>
      <c r="CB10" s="16">
        <v>0.98977686685833388</v>
      </c>
      <c r="CC10" s="17">
        <v>0.81916907296762198</v>
      </c>
      <c r="CD10" s="17">
        <v>0.8874234944376348</v>
      </c>
      <c r="CE10" s="17">
        <v>0.17441898630120148</v>
      </c>
      <c r="CF10" s="18">
        <v>0.22276131575573024</v>
      </c>
      <c r="CG10" s="18">
        <v>0.43138780930663334</v>
      </c>
      <c r="CH10" s="18">
        <v>0.3188690575180585</v>
      </c>
      <c r="CI10" s="19">
        <v>1.657913809913758E-4</v>
      </c>
      <c r="CJ10" s="19">
        <v>7.2996663503799297E-6</v>
      </c>
      <c r="CK10" s="19">
        <v>1.0228043432792822E-3</v>
      </c>
      <c r="CL10" s="20">
        <v>1.4009047024700072E-3</v>
      </c>
      <c r="CM10" s="20">
        <v>5.2797183503880962E-3</v>
      </c>
      <c r="CN10" s="20">
        <v>1.0034006278691887E-3</v>
      </c>
      <c r="CS10" s="1">
        <v>2</v>
      </c>
      <c r="CT10" s="15">
        <v>4.2433084659574717E-2</v>
      </c>
      <c r="CU10" s="15">
        <v>0.6171647933125517</v>
      </c>
      <c r="CV10" s="15">
        <v>1.0546213238010902</v>
      </c>
      <c r="CW10" s="16">
        <v>0.70729505182413854</v>
      </c>
      <c r="CX10" s="16">
        <v>1.1091197860045423</v>
      </c>
      <c r="CY10" s="16">
        <v>9.1029916173560821E-2</v>
      </c>
      <c r="CZ10" s="17">
        <v>0.93705459332839325</v>
      </c>
      <c r="DA10" s="17">
        <v>7.1630061490493516E-2</v>
      </c>
      <c r="DB10" s="17">
        <v>1.3440890606407903</v>
      </c>
      <c r="DC10" s="18">
        <v>0.54401390589187593</v>
      </c>
      <c r="DD10" s="18">
        <v>0.90627414549610885</v>
      </c>
      <c r="DE10" s="18">
        <v>0.45355018475160053</v>
      </c>
      <c r="DF10" s="19">
        <v>3.910670987282705E-4</v>
      </c>
      <c r="DG10" s="19">
        <v>2.1817853524375153E-4</v>
      </c>
      <c r="DH10" s="19">
        <v>1.173669833925195E-3</v>
      </c>
      <c r="DI10" s="20">
        <v>1.6441012531088761E-3</v>
      </c>
      <c r="DJ10" s="20">
        <v>1.5126447663947884E-3</v>
      </c>
      <c r="DK10" s="20">
        <v>3.5843975226396152E-3</v>
      </c>
    </row>
    <row r="11" spans="6:115" ht="15.75" x14ac:dyDescent="0.25">
      <c r="F11" s="1">
        <v>3</v>
      </c>
      <c r="G11" s="15">
        <v>4.6882943673594128E-2</v>
      </c>
      <c r="H11" s="15">
        <v>0.10455036726092092</v>
      </c>
      <c r="I11" s="15">
        <v>5.8088671750639607E-2</v>
      </c>
      <c r="J11" s="16">
        <v>0.13227844614431933</v>
      </c>
      <c r="K11" s="16">
        <v>7.6325655213988083E-2</v>
      </c>
      <c r="L11" s="16">
        <v>0.73303250020799804</v>
      </c>
      <c r="M11" s="17">
        <v>0.87595915385868584</v>
      </c>
      <c r="N11" s="17">
        <v>0.6088046243684444</v>
      </c>
      <c r="O11" s="17">
        <v>0.78134493655708737</v>
      </c>
      <c r="P11" s="18">
        <v>0.39069119727990947</v>
      </c>
      <c r="Q11" s="18">
        <v>0.87125306050767382</v>
      </c>
      <c r="R11" s="18">
        <v>0.44683593654336884</v>
      </c>
      <c r="S11" s="19">
        <v>4.1237657005255274E-4</v>
      </c>
      <c r="T11" s="19">
        <v>9.2100614720547203E-4</v>
      </c>
      <c r="U11" s="19">
        <v>5.0507805109933901E-4</v>
      </c>
      <c r="V11" s="20">
        <v>2.4581536605683407E-4</v>
      </c>
      <c r="W11" s="20">
        <v>6.1717736352628883E-4</v>
      </c>
      <c r="X11" s="20">
        <v>3.0471961499688449E-3</v>
      </c>
      <c r="AC11" s="1">
        <v>3</v>
      </c>
      <c r="AD11" s="15">
        <v>1.4870296493761999E-3</v>
      </c>
      <c r="AE11" s="15">
        <v>0.64196817785206606</v>
      </c>
      <c r="AF11" s="15">
        <v>1.345120190652872</v>
      </c>
      <c r="AG11" s="16">
        <v>6.2145487231018849E-2</v>
      </c>
      <c r="AH11" s="16">
        <v>0.33503509049926916</v>
      </c>
      <c r="AI11" s="16">
        <v>0.61029716307407067</v>
      </c>
      <c r="AJ11" s="17">
        <v>1.1402608687023716</v>
      </c>
      <c r="AK11" s="17">
        <v>0.64751769575343565</v>
      </c>
      <c r="AL11" s="17">
        <v>0.74908865286215687</v>
      </c>
      <c r="AM11" s="18">
        <v>1.281922111552867E-2</v>
      </c>
      <c r="AN11" s="18">
        <v>0.31286803200981583</v>
      </c>
      <c r="AO11" s="18">
        <v>0.15574687850912111</v>
      </c>
      <c r="AP11" s="19">
        <v>1.3145537578806987E-5</v>
      </c>
      <c r="AQ11" s="19">
        <v>1.1147664493017515E-3</v>
      </c>
      <c r="AR11" s="19">
        <v>1.5672669296997732E-3</v>
      </c>
      <c r="AS11" s="20">
        <v>1.5662717064557352E-4</v>
      </c>
      <c r="AT11" s="20">
        <v>3.0789589297787186E-3</v>
      </c>
      <c r="AU11" s="20">
        <v>2.7883187106417795E-3</v>
      </c>
      <c r="AZ11" s="1">
        <v>3</v>
      </c>
      <c r="BA11" s="15">
        <v>4.7329899980238996E-2</v>
      </c>
      <c r="BB11" s="15">
        <v>0.76265984092745187</v>
      </c>
      <c r="BC11" s="15">
        <v>1.1112445886119604</v>
      </c>
      <c r="BD11" s="16">
        <v>0.96003618861567941</v>
      </c>
      <c r="BE11" s="16">
        <v>1.6666321352290163</v>
      </c>
      <c r="BF11" s="16">
        <v>0.2281724691928616</v>
      </c>
      <c r="BG11" s="17">
        <v>0.40577347891675153</v>
      </c>
      <c r="BH11" s="17">
        <v>3.0652155715408008E-2</v>
      </c>
      <c r="BI11" s="17">
        <v>1.2641700490969972</v>
      </c>
      <c r="BJ11" s="18">
        <v>0.50350957425786225</v>
      </c>
      <c r="BK11" s="18">
        <v>1.5757909358427777</v>
      </c>
      <c r="BL11" s="18">
        <v>1.1760882564317416</v>
      </c>
      <c r="BM11" s="19">
        <v>4.2860603501304606E-4</v>
      </c>
      <c r="BN11" s="19">
        <v>7.5382976420257375E-4</v>
      </c>
      <c r="BO11" s="19">
        <v>2.1973845193536956E-3</v>
      </c>
      <c r="BP11" s="20">
        <v>2.2571782534089868E-3</v>
      </c>
      <c r="BQ11" s="20">
        <v>2.9277831469722848E-3</v>
      </c>
      <c r="BR11" s="20">
        <v>3.3807043264475478E-3</v>
      </c>
      <c r="BV11" s="1">
        <v>3</v>
      </c>
      <c r="BW11" s="15">
        <v>1.9727413460541562E-2</v>
      </c>
      <c r="BX11" s="15">
        <v>0.42266134693059437</v>
      </c>
      <c r="BY11" s="15">
        <v>0.73195794393711966</v>
      </c>
      <c r="BZ11" s="16">
        <v>0.51379709305272747</v>
      </c>
      <c r="CA11" s="16">
        <v>1.2435724932848014</v>
      </c>
      <c r="CB11" s="16">
        <v>0.96461235767112719</v>
      </c>
      <c r="CC11" s="17">
        <v>0.84311406826505109</v>
      </c>
      <c r="CD11" s="17">
        <v>0.87068481185455293</v>
      </c>
      <c r="CE11" s="17">
        <v>0.16738325367157039</v>
      </c>
      <c r="CF11" s="18">
        <v>0.24354831432774254</v>
      </c>
      <c r="CG11" s="18">
        <v>0.43051734089572358</v>
      </c>
      <c r="CH11" s="18">
        <v>0.27696479870763485</v>
      </c>
      <c r="CI11" s="19">
        <v>1.8125917195610519E-4</v>
      </c>
      <c r="CJ11" s="19">
        <v>6.6270448879635069E-6</v>
      </c>
      <c r="CK11" s="19">
        <v>9.8587122309978792E-4</v>
      </c>
      <c r="CL11" s="20">
        <v>1.4328600133451941E-3</v>
      </c>
      <c r="CM11" s="20">
        <v>5.3594284610594123E-3</v>
      </c>
      <c r="CN11" s="20">
        <v>8.9134002396662471E-4</v>
      </c>
      <c r="CS11" s="1">
        <v>3</v>
      </c>
      <c r="CT11" s="15">
        <v>3.9722930439876604E-2</v>
      </c>
      <c r="CU11" s="15">
        <v>0.61796620661943202</v>
      </c>
      <c r="CV11" s="15">
        <v>1.0529790508576236</v>
      </c>
      <c r="CW11" s="16">
        <v>0.70141091206599759</v>
      </c>
      <c r="CX11" s="16">
        <v>1.1163578323190788</v>
      </c>
      <c r="CY11" s="16">
        <v>0.10129073347989197</v>
      </c>
      <c r="CZ11" s="17">
        <v>0.93848069217588803</v>
      </c>
      <c r="DA11" s="17">
        <v>8.1994933788451643E-2</v>
      </c>
      <c r="DB11" s="17">
        <v>1.367527990874136</v>
      </c>
      <c r="DC11" s="18">
        <v>0.50926833897279489</v>
      </c>
      <c r="DD11" s="18">
        <v>0.91695965625445097</v>
      </c>
      <c r="DE11" s="18">
        <v>0.47487840479663956</v>
      </c>
      <c r="DF11" s="19">
        <v>3.660999930101827E-4</v>
      </c>
      <c r="DG11" s="19">
        <v>2.2563946285547587E-4</v>
      </c>
      <c r="DH11" s="19">
        <v>1.1889698442345553E-3</v>
      </c>
      <c r="DI11" s="20">
        <v>1.6362939427322365E-3</v>
      </c>
      <c r="DJ11" s="20">
        <v>1.5324567149025414E-3</v>
      </c>
      <c r="DK11" s="20">
        <v>3.540201551166855E-3</v>
      </c>
    </row>
    <row r="12" spans="6:115" ht="15.75" x14ac:dyDescent="0.25">
      <c r="F12" s="1">
        <v>4</v>
      </c>
      <c r="G12" s="15">
        <v>4.9127012558660983E-2</v>
      </c>
      <c r="H12" s="15">
        <v>0.10526188551674001</v>
      </c>
      <c r="I12" s="15">
        <v>4.9236472714669619E-2</v>
      </c>
      <c r="J12" s="16">
        <v>0.1360479445415711</v>
      </c>
      <c r="K12" s="16">
        <v>8.6790536045382172E-2</v>
      </c>
      <c r="L12" s="16">
        <v>0.71385492117131089</v>
      </c>
      <c r="M12" s="17">
        <v>0.93499022712132607</v>
      </c>
      <c r="N12" s="17">
        <v>0.59947511276797549</v>
      </c>
      <c r="O12" s="17">
        <v>0.82697121586864253</v>
      </c>
      <c r="P12" s="18">
        <v>0.40939177132213328</v>
      </c>
      <c r="Q12" s="18">
        <v>0.8771823793061293</v>
      </c>
      <c r="R12" s="18">
        <v>0.37874209780510015</v>
      </c>
      <c r="S12" s="19">
        <v>4.3210543002736301E-4</v>
      </c>
      <c r="T12" s="19">
        <v>9.2728066565994638E-4</v>
      </c>
      <c r="U12" s="19">
        <v>4.2814650837885715E-4</v>
      </c>
      <c r="V12" s="20">
        <v>2.5020062785607866E-4</v>
      </c>
      <c r="W12" s="20">
        <v>6.5530289741544401E-4</v>
      </c>
      <c r="X12" s="20">
        <v>2.9391153845594875E-3</v>
      </c>
      <c r="AC12" s="1">
        <v>4</v>
      </c>
      <c r="AD12" s="15">
        <v>2.197127733556772E-2</v>
      </c>
      <c r="AE12" s="15">
        <v>0.64114988746548385</v>
      </c>
      <c r="AF12" s="15">
        <v>1.316440308095614</v>
      </c>
      <c r="AG12" s="16">
        <v>9.5598792666620858E-2</v>
      </c>
      <c r="AH12" s="16">
        <v>0.32150499677425742</v>
      </c>
      <c r="AI12" s="16">
        <v>0.60541528451586291</v>
      </c>
      <c r="AJ12" s="17">
        <v>1.1108475640118578</v>
      </c>
      <c r="AK12" s="17">
        <v>0.70502342375324367</v>
      </c>
      <c r="AL12" s="17">
        <v>0.8297353579634501</v>
      </c>
      <c r="AM12" s="18">
        <v>0.1894075632377612</v>
      </c>
      <c r="AN12" s="18">
        <v>0.31992225948036712</v>
      </c>
      <c r="AO12" s="18">
        <v>6.4867602700709653E-2</v>
      </c>
      <c r="AP12" s="19">
        <v>1.9426877497796813E-4</v>
      </c>
      <c r="AQ12" s="19">
        <v>1.1220376334816204E-3</v>
      </c>
      <c r="AR12" s="19">
        <v>1.819654955335426E-3</v>
      </c>
      <c r="AS12" s="20">
        <v>1.9015290273005636E-4</v>
      </c>
      <c r="AT12" s="20">
        <v>3.0337662109802821E-3</v>
      </c>
      <c r="AU12" s="20">
        <v>2.6974733310629606E-3</v>
      </c>
      <c r="AZ12" s="1">
        <v>4</v>
      </c>
      <c r="BA12" s="15">
        <v>7.5391477747827174E-2</v>
      </c>
      <c r="BB12" s="15">
        <v>0.75866271426796583</v>
      </c>
      <c r="BC12" s="15">
        <v>1.143636882674917</v>
      </c>
      <c r="BD12" s="16">
        <v>0.89304786329274455</v>
      </c>
      <c r="BE12" s="16">
        <v>1.5973331831794466</v>
      </c>
      <c r="BF12" s="16">
        <v>5.9916295956033733E-2</v>
      </c>
      <c r="BG12" s="17">
        <v>0.53061910232468279</v>
      </c>
      <c r="BH12" s="17">
        <v>6.8088436598714927E-2</v>
      </c>
      <c r="BI12" s="17">
        <v>1.3536398689559628</v>
      </c>
      <c r="BJ12" s="18">
        <v>0.8020369973171213</v>
      </c>
      <c r="BK12" s="18">
        <v>1.5323439069353002</v>
      </c>
      <c r="BL12" s="18">
        <v>0.83511673997958125</v>
      </c>
      <c r="BM12" s="19">
        <v>6.8253221727043734E-4</v>
      </c>
      <c r="BN12" s="19">
        <v>7.1722803896179244E-4</v>
      </c>
      <c r="BO12" s="19">
        <v>1.9015629163806615E-3</v>
      </c>
      <c r="BP12" s="20">
        <v>2.0214421089507213E-3</v>
      </c>
      <c r="BQ12" s="20">
        <v>2.7159416907003298E-3</v>
      </c>
      <c r="BR12" s="20">
        <v>4.1467905432722718E-3</v>
      </c>
      <c r="BV12" s="1">
        <v>4</v>
      </c>
      <c r="BW12" s="15">
        <v>3.701853117412314E-2</v>
      </c>
      <c r="BX12" s="15">
        <v>0.41904930789138045</v>
      </c>
      <c r="BY12" s="15">
        <v>0.7460394991409931</v>
      </c>
      <c r="BZ12" s="16">
        <v>0.58243860450486562</v>
      </c>
      <c r="CA12" s="16">
        <v>1.2883747038499633</v>
      </c>
      <c r="CB12" s="16">
        <v>0.80943057003005137</v>
      </c>
      <c r="CC12" s="17">
        <v>0.87774240596647513</v>
      </c>
      <c r="CD12" s="17">
        <v>0.85815269539284422</v>
      </c>
      <c r="CE12" s="17">
        <v>0.20875878705038137</v>
      </c>
      <c r="CF12" s="18">
        <v>0.45701890338427098</v>
      </c>
      <c r="CG12" s="18">
        <v>0.3875168761431993</v>
      </c>
      <c r="CH12" s="18">
        <v>0.13179412650273917</v>
      </c>
      <c r="CI12" s="19">
        <v>3.4007441093830693E-4</v>
      </c>
      <c r="CJ12" s="19">
        <v>2.6598704354952041E-5</v>
      </c>
      <c r="CK12" s="19">
        <v>8.5789888139220505E-4</v>
      </c>
      <c r="CL12" s="20">
        <v>1.6633414460993645E-3</v>
      </c>
      <c r="CM12" s="20">
        <v>5.4913993042932097E-3</v>
      </c>
      <c r="CN12" s="20">
        <v>2.4272937997760202E-4</v>
      </c>
      <c r="CS12" s="1">
        <v>4</v>
      </c>
      <c r="CT12" s="15">
        <v>4.1323848990934539E-2</v>
      </c>
      <c r="CU12" s="15">
        <v>0.61724002501886577</v>
      </c>
      <c r="CV12" s="15">
        <v>1.0526236869515193</v>
      </c>
      <c r="CW12" s="16">
        <v>0.69514682830149832</v>
      </c>
      <c r="CX12" s="16">
        <v>1.1126020218790464</v>
      </c>
      <c r="CY12" s="16">
        <v>8.8779358642310957E-2</v>
      </c>
      <c r="CZ12" s="17">
        <v>0.92372979322827187</v>
      </c>
      <c r="DA12" s="17">
        <v>7.4274357402579344E-2</v>
      </c>
      <c r="DB12" s="17">
        <v>1.3353730331516125</v>
      </c>
      <c r="DC12" s="18">
        <v>0.52979293578114039</v>
      </c>
      <c r="DD12" s="18">
        <v>0.90727723491350554</v>
      </c>
      <c r="DE12" s="18">
        <v>0.47949352046027505</v>
      </c>
      <c r="DF12" s="19">
        <v>3.808485064348277E-4</v>
      </c>
      <c r="DG12" s="19">
        <v>2.1887891569505324E-4</v>
      </c>
      <c r="DH12" s="19">
        <v>1.1922804764168404E-3</v>
      </c>
      <c r="DI12" s="20">
        <v>1.6168115808682382E-3</v>
      </c>
      <c r="DJ12" s="20">
        <v>1.5231261037650379E-3</v>
      </c>
      <c r="DK12" s="20">
        <v>3.5852631781773114E-3</v>
      </c>
    </row>
    <row r="13" spans="6:115" ht="15.75" x14ac:dyDescent="0.25">
      <c r="F13" s="1">
        <v>5</v>
      </c>
      <c r="G13" s="15">
        <v>4.2533114850380416E-2</v>
      </c>
      <c r="H13" s="15">
        <v>0.10106588926062168</v>
      </c>
      <c r="I13" s="15">
        <v>6.552643255330895E-2</v>
      </c>
      <c r="J13" s="16">
        <v>0.15674676572621526</v>
      </c>
      <c r="K13" s="16">
        <v>6.0478657236574924E-2</v>
      </c>
      <c r="L13" s="16">
        <v>0.78013649074850078</v>
      </c>
      <c r="M13" s="17">
        <v>0.92501832567780973</v>
      </c>
      <c r="N13" s="17">
        <v>0.63856903827237022</v>
      </c>
      <c r="O13" s="17">
        <v>0.88010373738514736</v>
      </c>
      <c r="P13" s="18">
        <v>0.35444262375322583</v>
      </c>
      <c r="Q13" s="18">
        <v>0.84221574383849507</v>
      </c>
      <c r="R13" s="18">
        <v>0.50404948117927417</v>
      </c>
      <c r="S13" s="19">
        <v>3.741322805707048E-4</v>
      </c>
      <c r="T13" s="19">
        <v>8.9027959448251259E-4</v>
      </c>
      <c r="U13" s="19">
        <v>5.6970665476696613E-4</v>
      </c>
      <c r="V13" s="20">
        <v>3.2878036028949342E-4</v>
      </c>
      <c r="W13" s="20">
        <v>5.5121758159515355E-4</v>
      </c>
      <c r="X13" s="20">
        <v>3.2578494836222886E-3</v>
      </c>
      <c r="AC13" s="1">
        <v>5</v>
      </c>
      <c r="AD13" s="15">
        <v>3.4156400264924475E-2</v>
      </c>
      <c r="AE13" s="15">
        <v>0.64438455032908704</v>
      </c>
      <c r="AF13" s="15">
        <v>1.3084990128604268</v>
      </c>
      <c r="AG13" s="16">
        <v>2.6028805223612613E-2</v>
      </c>
      <c r="AH13" s="16">
        <v>0.3078398074541745</v>
      </c>
      <c r="AI13" s="16">
        <v>0.73834879788721497</v>
      </c>
      <c r="AJ13" s="17">
        <v>1.0456826310116158</v>
      </c>
      <c r="AK13" s="17">
        <v>0.74575599455985642</v>
      </c>
      <c r="AL13" s="17">
        <v>0.81077389277422174</v>
      </c>
      <c r="AM13" s="18">
        <v>0.29445172642191453</v>
      </c>
      <c r="AN13" s="18">
        <v>0.29203723479414712</v>
      </c>
      <c r="AO13" s="18">
        <v>0.12595448912518872</v>
      </c>
      <c r="AP13" s="19">
        <v>3.0204574629633107E-4</v>
      </c>
      <c r="AQ13" s="19">
        <v>1.0932942902389662E-3</v>
      </c>
      <c r="AR13" s="19">
        <v>1.8895138222937424E-3</v>
      </c>
      <c r="AS13" s="20">
        <v>1.5546223263662726E-4</v>
      </c>
      <c r="AT13" s="20">
        <v>3.0010285138002413E-3</v>
      </c>
      <c r="AU13" s="20">
        <v>2.1639865006977121E-3</v>
      </c>
      <c r="AZ13" s="1">
        <v>5</v>
      </c>
      <c r="BA13" s="15">
        <v>7.9962535699309972E-2</v>
      </c>
      <c r="BB13" s="15">
        <v>0.75852256120142503</v>
      </c>
      <c r="BC13" s="15">
        <v>1.1454031668029254</v>
      </c>
      <c r="BD13" s="16">
        <v>0.89307622864972358</v>
      </c>
      <c r="BE13" s="16">
        <v>1.5180348018099608</v>
      </c>
      <c r="BF13" s="16">
        <v>1.3079580721329967E-2</v>
      </c>
      <c r="BG13" s="17">
        <v>0.5595327975064609</v>
      </c>
      <c r="BH13" s="17">
        <v>0.15509217694234448</v>
      </c>
      <c r="BI13" s="17">
        <v>1.2200098722090074</v>
      </c>
      <c r="BJ13" s="18">
        <v>0.85066527339676956</v>
      </c>
      <c r="BK13" s="18">
        <v>1.5308205040380982</v>
      </c>
      <c r="BL13" s="18">
        <v>0.81652427547402839</v>
      </c>
      <c r="BM13" s="19">
        <v>7.2388173924142762E-4</v>
      </c>
      <c r="BN13" s="19">
        <v>7.1594470955738121E-4</v>
      </c>
      <c r="BO13" s="19">
        <v>1.8854268085358727E-3</v>
      </c>
      <c r="BP13" s="20">
        <v>2.0101146373990852E-3</v>
      </c>
      <c r="BQ13" s="20">
        <v>2.4593372099066535E-3</v>
      </c>
      <c r="BR13" s="20">
        <v>4.4315801564063237E-3</v>
      </c>
      <c r="BV13" s="1">
        <v>5</v>
      </c>
      <c r="BW13" s="15">
        <v>2.3398392594930095E-2</v>
      </c>
      <c r="BX13" s="15">
        <v>0.42230135848862371</v>
      </c>
      <c r="BY13" s="15">
        <v>0.73534463580248344</v>
      </c>
      <c r="BZ13" s="16">
        <v>0.54637883257795072</v>
      </c>
      <c r="CA13" s="16">
        <v>1.2541934194831827</v>
      </c>
      <c r="CB13" s="16">
        <v>0.90937515205514607</v>
      </c>
      <c r="CC13" s="17">
        <v>0.83233395736875115</v>
      </c>
      <c r="CD13" s="17">
        <v>0.88214180759812566</v>
      </c>
      <c r="CE13" s="17">
        <v>0.18914836347078243</v>
      </c>
      <c r="CF13" s="18">
        <v>0.28886904438183597</v>
      </c>
      <c r="CG13" s="18">
        <v>0.42623176420568493</v>
      </c>
      <c r="CH13" s="18">
        <v>0.24205044958014446</v>
      </c>
      <c r="CI13" s="19">
        <v>2.1498092586635931E-4</v>
      </c>
      <c r="CJ13" s="19">
        <v>3.315542382864578E-6</v>
      </c>
      <c r="CK13" s="19">
        <v>9.5509648357983146E-4</v>
      </c>
      <c r="CL13" s="20">
        <v>1.5301598232365654E-3</v>
      </c>
      <c r="CM13" s="20">
        <v>5.392335412365501E-3</v>
      </c>
      <c r="CN13" s="20">
        <v>6.6660512146499151E-4</v>
      </c>
      <c r="CS13" s="1">
        <v>5</v>
      </c>
      <c r="CT13" s="15">
        <v>4.1097135341351725E-2</v>
      </c>
      <c r="CU13" s="15">
        <v>0.61758110623840989</v>
      </c>
      <c r="CV13" s="15">
        <v>1.0537911021576518</v>
      </c>
      <c r="CW13" s="16">
        <v>0.69426751170369283</v>
      </c>
      <c r="CX13" s="16">
        <v>1.1187871422376028</v>
      </c>
      <c r="CY13" s="16">
        <v>8.3081707884653175E-2</v>
      </c>
      <c r="CZ13" s="17">
        <v>0.92087906627667748</v>
      </c>
      <c r="DA13" s="17">
        <v>7.440449048603108E-2</v>
      </c>
      <c r="DB13" s="17">
        <v>1.3293159605365397</v>
      </c>
      <c r="DC13" s="18">
        <v>0.52688635053018618</v>
      </c>
      <c r="DD13" s="18">
        <v>0.91182498450740368</v>
      </c>
      <c r="DE13" s="18">
        <v>0.46433228401697735</v>
      </c>
      <c r="DF13" s="19">
        <v>3.7875992836688965E-4</v>
      </c>
      <c r="DG13" s="19">
        <v>2.2205427394328403E-4</v>
      </c>
      <c r="DH13" s="19">
        <v>1.1814045433123921E-3</v>
      </c>
      <c r="DI13" s="20">
        <v>1.6152008636547421E-3</v>
      </c>
      <c r="DJ13" s="20">
        <v>1.5411082241800766E-3</v>
      </c>
      <c r="DK13" s="20">
        <v>3.6107595827156169E-3</v>
      </c>
    </row>
    <row r="14" spans="6:115" ht="15.75" x14ac:dyDescent="0.25">
      <c r="F14" s="1">
        <v>6</v>
      </c>
      <c r="G14" s="15">
        <v>5.4193579606601511E-2</v>
      </c>
      <c r="H14" s="15">
        <v>0.1032611713546697</v>
      </c>
      <c r="I14" s="15">
        <v>4.7355200803448495E-2</v>
      </c>
      <c r="J14" s="16">
        <v>0.14350665828211484</v>
      </c>
      <c r="K14" s="16">
        <v>9.4691553942115189E-2</v>
      </c>
      <c r="L14" s="16">
        <v>0.71553978654575523</v>
      </c>
      <c r="M14" s="17">
        <v>0.95738520970698793</v>
      </c>
      <c r="N14" s="17">
        <v>0.59659114962336979</v>
      </c>
      <c r="O14" s="17">
        <v>0.84895183986736766</v>
      </c>
      <c r="P14" s="18">
        <v>0.45161316338837387</v>
      </c>
      <c r="Q14" s="18">
        <v>0.86050976128896917</v>
      </c>
      <c r="R14" s="18">
        <v>0.36427077541121833</v>
      </c>
      <c r="S14" s="19">
        <v>4.7664518944789958E-4</v>
      </c>
      <c r="T14" s="19">
        <v>9.0963761037254898E-4</v>
      </c>
      <c r="U14" s="19">
        <v>4.1179524052692429E-4</v>
      </c>
      <c r="V14" s="20">
        <v>2.5707312088851797E-4</v>
      </c>
      <c r="W14" s="20">
        <v>6.7541379527724654E-4</v>
      </c>
      <c r="X14" s="20">
        <v>2.9384117033014467E-3</v>
      </c>
      <c r="AC14" s="1">
        <v>6</v>
      </c>
      <c r="AD14" s="15">
        <v>2.0541420299781205E-2</v>
      </c>
      <c r="AE14" s="15">
        <v>0.64025871879147678</v>
      </c>
      <c r="AF14" s="15">
        <v>1.3180087597238734</v>
      </c>
      <c r="AG14" s="16">
        <v>1.7077830453042651E-2</v>
      </c>
      <c r="AH14" s="16">
        <v>0.30825376633636609</v>
      </c>
      <c r="AI14" s="16">
        <v>0.70673738895833016</v>
      </c>
      <c r="AJ14" s="17">
        <v>1.1335143977479645</v>
      </c>
      <c r="AK14" s="17">
        <v>0.70845778886435495</v>
      </c>
      <c r="AL14" s="17">
        <v>0.84750223398909175</v>
      </c>
      <c r="AM14" s="18">
        <v>0.17708120948113248</v>
      </c>
      <c r="AN14" s="18">
        <v>0.32760474804937845</v>
      </c>
      <c r="AO14" s="18">
        <v>5.2802590175541619E-2</v>
      </c>
      <c r="AP14" s="19">
        <v>1.8162346348937763E-4</v>
      </c>
      <c r="AQ14" s="19">
        <v>1.1299562650408659E-3</v>
      </c>
      <c r="AR14" s="19">
        <v>1.8058560964079315E-3</v>
      </c>
      <c r="AS14" s="20">
        <v>8.9452870702944054E-6</v>
      </c>
      <c r="AT14" s="20">
        <v>2.9892189737917851E-3</v>
      </c>
      <c r="AU14" s="20">
        <v>2.3199283824321126E-3</v>
      </c>
      <c r="AZ14" s="1">
        <v>6</v>
      </c>
      <c r="BA14" s="15">
        <v>7.2029858755081819E-2</v>
      </c>
      <c r="BB14" s="15">
        <v>0.76262203258005579</v>
      </c>
      <c r="BC14" s="15">
        <v>1.1439249048159839</v>
      </c>
      <c r="BD14" s="16">
        <v>0.90149727135517854</v>
      </c>
      <c r="BE14" s="16">
        <v>1.5332588828037423</v>
      </c>
      <c r="BF14" s="16">
        <v>2.2945752120642256E-2</v>
      </c>
      <c r="BG14" s="17">
        <v>0.49413662988154561</v>
      </c>
      <c r="BH14" s="17">
        <v>0.11494221616596458</v>
      </c>
      <c r="BI14" s="17">
        <v>1.2230212686697397</v>
      </c>
      <c r="BJ14" s="18">
        <v>0.76627509313903774</v>
      </c>
      <c r="BK14" s="18">
        <v>1.5753799755449542</v>
      </c>
      <c r="BL14" s="18">
        <v>0.83208492796822198</v>
      </c>
      <c r="BM14" s="19">
        <v>6.5212079863063988E-4</v>
      </c>
      <c r="BN14" s="19">
        <v>7.5348353900794862E-4</v>
      </c>
      <c r="BO14" s="19">
        <v>1.8989316937148004E-3</v>
      </c>
      <c r="BP14" s="20">
        <v>2.0507239459078841E-3</v>
      </c>
      <c r="BQ14" s="20">
        <v>2.4954989360486124E-3</v>
      </c>
      <c r="BR14" s="20">
        <v>4.2887137919336293E-3</v>
      </c>
      <c r="BV14" s="1">
        <v>6</v>
      </c>
      <c r="BW14" s="15">
        <v>0.1000833594202452</v>
      </c>
      <c r="BX14" s="15">
        <v>0.40699307299523063</v>
      </c>
      <c r="BY14" s="15">
        <v>0.8045847502438036</v>
      </c>
      <c r="BZ14" s="16">
        <v>1.0034728656350502</v>
      </c>
      <c r="CA14" s="16">
        <v>1.2785632434331999</v>
      </c>
      <c r="CB14" s="16">
        <v>0.45295204685673623</v>
      </c>
      <c r="CC14" s="17">
        <v>1.0192267103890518</v>
      </c>
      <c r="CD14" s="17">
        <v>0.82484343859409792</v>
      </c>
      <c r="CE14" s="17">
        <v>0.37552536180539081</v>
      </c>
      <c r="CF14" s="18">
        <v>1.2355970298796224</v>
      </c>
      <c r="CG14" s="18">
        <v>0.24399027023667552</v>
      </c>
      <c r="CH14" s="18">
        <v>0.47176516321698458</v>
      </c>
      <c r="CI14" s="19">
        <v>9.1884646066631159E-4</v>
      </c>
      <c r="CJ14" s="19">
        <v>1.3748189611095807E-4</v>
      </c>
      <c r="CK14" s="19">
        <v>3.2545354904067736E-4</v>
      </c>
      <c r="CL14" s="20">
        <v>2.9611795598157853E-3</v>
      </c>
      <c r="CM14" s="20">
        <v>5.420580796000829E-3</v>
      </c>
      <c r="CN14" s="20">
        <v>1.3449438628275745E-3</v>
      </c>
      <c r="CS14" s="1">
        <v>6</v>
      </c>
      <c r="CT14" s="15">
        <v>3.6638605778695196E-2</v>
      </c>
      <c r="CU14" s="15">
        <v>0.61709180577139222</v>
      </c>
      <c r="CV14" s="15">
        <v>1.047282922210566</v>
      </c>
      <c r="CW14" s="16">
        <v>0.72579649809509206</v>
      </c>
      <c r="CX14" s="16">
        <v>1.1261320642206984</v>
      </c>
      <c r="CY14" s="16">
        <v>0.1239367584569521</v>
      </c>
      <c r="CZ14" s="17">
        <v>0.91063358853321197</v>
      </c>
      <c r="DA14" s="17">
        <v>0.11557830170926535</v>
      </c>
      <c r="DB14" s="17">
        <v>1.3972454703958002</v>
      </c>
      <c r="DC14" s="18">
        <v>0.46972571511147687</v>
      </c>
      <c r="DD14" s="18">
        <v>0.90530097828047562</v>
      </c>
      <c r="DE14" s="18">
        <v>0.54885410151168956</v>
      </c>
      <c r="DF14" s="19">
        <v>3.3768422248858787E-4</v>
      </c>
      <c r="DG14" s="19">
        <v>2.1749904818590959E-4</v>
      </c>
      <c r="DH14" s="19">
        <v>1.2420331089039172E-3</v>
      </c>
      <c r="DI14" s="20">
        <v>1.7043029928748288E-3</v>
      </c>
      <c r="DJ14" s="20">
        <v>1.565199702008746E-3</v>
      </c>
      <c r="DK14" s="20">
        <v>3.434897556711114E-3</v>
      </c>
    </row>
    <row r="15" spans="6:115" ht="15.75" x14ac:dyDescent="0.25">
      <c r="F15" s="1">
        <v>7</v>
      </c>
      <c r="G15" s="15">
        <v>3.6196674642782457E-2</v>
      </c>
      <c r="H15" s="15">
        <v>0.10972209222384036</v>
      </c>
      <c r="I15" s="15">
        <v>5.5644254744417594E-2</v>
      </c>
      <c r="J15" s="16">
        <v>0.20291131100619619</v>
      </c>
      <c r="K15" s="16">
        <v>4.5708076565628669E-2</v>
      </c>
      <c r="L15" s="16">
        <v>0.85182951199749313</v>
      </c>
      <c r="M15" s="17">
        <v>0.87035583371085412</v>
      </c>
      <c r="N15" s="17">
        <v>0.63339958685827469</v>
      </c>
      <c r="O15" s="17">
        <v>0.79908864644434774</v>
      </c>
      <c r="P15" s="18">
        <v>0.30163895535646496</v>
      </c>
      <c r="Q15" s="18">
        <v>0.91435076853205821</v>
      </c>
      <c r="R15" s="18">
        <v>0.42803272880323751</v>
      </c>
      <c r="S15" s="19">
        <v>3.1841548104083461E-4</v>
      </c>
      <c r="T15" s="19">
        <v>9.6661500177341875E-4</v>
      </c>
      <c r="U15" s="19">
        <v>4.8383578945720984E-4</v>
      </c>
      <c r="V15" s="20">
        <v>4.7993213870034523E-4</v>
      </c>
      <c r="W15" s="20">
        <v>5.3040675706839114E-4</v>
      </c>
      <c r="X15" s="20">
        <v>3.4973095322544667E-3</v>
      </c>
      <c r="AC15" s="1">
        <v>7</v>
      </c>
      <c r="AD15" s="15">
        <v>3.5411538838788148E-3</v>
      </c>
      <c r="AE15" s="15">
        <v>0.63887826759040678</v>
      </c>
      <c r="AF15" s="15">
        <v>1.3324261810822653</v>
      </c>
      <c r="AG15" s="16">
        <v>4.7955266367817197E-2</v>
      </c>
      <c r="AH15" s="16">
        <v>0.33560109725961962</v>
      </c>
      <c r="AI15" s="16">
        <v>0.6189072908861748</v>
      </c>
      <c r="AJ15" s="17">
        <v>1.0754876533438837</v>
      </c>
      <c r="AK15" s="17">
        <v>0.66834424995353536</v>
      </c>
      <c r="AL15" s="17">
        <v>0.71450523941433286</v>
      </c>
      <c r="AM15" s="18">
        <v>3.0527188654387648E-2</v>
      </c>
      <c r="AN15" s="18">
        <v>0.33950518943789892</v>
      </c>
      <c r="AO15" s="18">
        <v>5.8100651042875248E-2</v>
      </c>
      <c r="AP15" s="19">
        <v>3.1304908888807326E-5</v>
      </c>
      <c r="AQ15" s="19">
        <v>1.1422222196820766E-3</v>
      </c>
      <c r="AR15" s="19">
        <v>1.6789945520415683E-3</v>
      </c>
      <c r="AS15" s="20">
        <v>1.1468536961178887E-4</v>
      </c>
      <c r="AT15" s="20">
        <v>3.0709185648479802E-3</v>
      </c>
      <c r="AU15" s="20">
        <v>2.7073467649897376E-3</v>
      </c>
      <c r="AZ15" s="1">
        <v>7</v>
      </c>
      <c r="BA15" s="15">
        <v>5.2469230533454259E-2</v>
      </c>
      <c r="BB15" s="15">
        <v>0.7609870249299947</v>
      </c>
      <c r="BC15" s="15">
        <v>1.11760227689749</v>
      </c>
      <c r="BD15" s="16">
        <v>1.1002773917334057</v>
      </c>
      <c r="BE15" s="16">
        <v>1.6340946428832455</v>
      </c>
      <c r="BF15" s="16">
        <v>0.29270272473904219</v>
      </c>
      <c r="BG15" s="17">
        <v>0.36632963183777167</v>
      </c>
      <c r="BH15" s="17">
        <v>5.0205844917703066E-2</v>
      </c>
      <c r="BI15" s="17">
        <v>1.3676701518231795</v>
      </c>
      <c r="BJ15" s="18">
        <v>0.55818330354734258</v>
      </c>
      <c r="BK15" s="18">
        <v>1.5576081532616617</v>
      </c>
      <c r="BL15" s="18">
        <v>1.1091652218470316</v>
      </c>
      <c r="BM15" s="19">
        <v>4.751219358091196E-4</v>
      </c>
      <c r="BN15" s="19">
        <v>7.3851141410408161E-4</v>
      </c>
      <c r="BO15" s="19">
        <v>2.1393384186850772E-3</v>
      </c>
      <c r="BP15" s="20">
        <v>2.5913491635789487E-3</v>
      </c>
      <c r="BQ15" s="20">
        <v>2.8276566206482112E-3</v>
      </c>
      <c r="BR15" s="20">
        <v>3.1589563358245254E-3</v>
      </c>
      <c r="BV15" s="1">
        <v>7</v>
      </c>
      <c r="BW15" s="15">
        <v>2.4509181047846929E-2</v>
      </c>
      <c r="BX15" s="15">
        <v>0.42234524580834143</v>
      </c>
      <c r="BY15" s="15">
        <v>0.73788827211099173</v>
      </c>
      <c r="BZ15" s="16">
        <v>0.51605549057280142</v>
      </c>
      <c r="CA15" s="16">
        <v>1.2512736388499432</v>
      </c>
      <c r="CB15" s="16">
        <v>0.93854469686270836</v>
      </c>
      <c r="CC15" s="17">
        <v>0.87272660398349899</v>
      </c>
      <c r="CD15" s="17">
        <v>0.86344534409412821</v>
      </c>
      <c r="CE15" s="17">
        <v>0.19141066251724673</v>
      </c>
      <c r="CF15" s="18">
        <v>0.30258248207215011</v>
      </c>
      <c r="CG15" s="18">
        <v>0.42675423229756249</v>
      </c>
      <c r="CH15" s="18">
        <v>0.21582739485325489</v>
      </c>
      <c r="CI15" s="19">
        <v>2.2518418303063559E-4</v>
      </c>
      <c r="CJ15" s="19">
        <v>3.7192567550192734E-6</v>
      </c>
      <c r="CK15" s="19">
        <v>9.3198117675685754E-4</v>
      </c>
      <c r="CL15" s="20">
        <v>1.451696908003286E-3</v>
      </c>
      <c r="CM15" s="20">
        <v>5.3831094352053688E-3</v>
      </c>
      <c r="CN15" s="20">
        <v>7.6869587292505148E-4</v>
      </c>
      <c r="CS15" s="1">
        <v>7</v>
      </c>
      <c r="CT15" s="15">
        <v>4.194579573704553E-2</v>
      </c>
      <c r="CU15" s="15">
        <v>0.61694189750386186</v>
      </c>
      <c r="CV15" s="15">
        <v>1.0534687437340222</v>
      </c>
      <c r="CW15" s="16">
        <v>0.69959162050833246</v>
      </c>
      <c r="CX15" s="16">
        <v>1.1170087117121756</v>
      </c>
      <c r="CY15" s="16">
        <v>9.255683047323475E-2</v>
      </c>
      <c r="CZ15" s="17">
        <v>0.92942933297104802</v>
      </c>
      <c r="DA15" s="17">
        <v>7.6139384420049055E-2</v>
      </c>
      <c r="DB15" s="17">
        <v>1.3433446910971873</v>
      </c>
      <c r="DC15" s="18">
        <v>0.53776661201340425</v>
      </c>
      <c r="DD15" s="18">
        <v>0.90330220138020856</v>
      </c>
      <c r="DE15" s="18">
        <v>0.4685187570510933</v>
      </c>
      <c r="DF15" s="19">
        <v>3.8657808344233491E-4</v>
      </c>
      <c r="DG15" s="19">
        <v>2.1610346069822484E-4</v>
      </c>
      <c r="DH15" s="19">
        <v>1.1844077409539633E-3</v>
      </c>
      <c r="DI15" s="20">
        <v>1.6262582675395931E-3</v>
      </c>
      <c r="DJ15" s="20">
        <v>1.5375939481099277E-3</v>
      </c>
      <c r="DK15" s="20">
        <v>3.5744205931486084E-3</v>
      </c>
    </row>
    <row r="16" spans="6:115" ht="15.75" x14ac:dyDescent="0.25">
      <c r="F16" s="1">
        <v>8</v>
      </c>
      <c r="G16" s="15">
        <v>5.2368986270686348E-2</v>
      </c>
      <c r="H16" s="15">
        <v>9.9671280738310691E-2</v>
      </c>
      <c r="I16" s="15">
        <v>4.6632472774448618E-2</v>
      </c>
      <c r="J16" s="16">
        <v>0.14217606268888797</v>
      </c>
      <c r="K16" s="16">
        <v>7.1609367691026493E-2</v>
      </c>
      <c r="L16" s="16">
        <v>0.71989394384942484</v>
      </c>
      <c r="M16" s="17">
        <v>1.0465015500087134</v>
      </c>
      <c r="N16" s="17">
        <v>0.60005122206647243</v>
      </c>
      <c r="O16" s="17">
        <v>0.93698654255473612</v>
      </c>
      <c r="P16" s="18">
        <v>0.43640821892245568</v>
      </c>
      <c r="Q16" s="18">
        <v>0.83059400615247747</v>
      </c>
      <c r="R16" s="18">
        <v>0.35871132903414399</v>
      </c>
      <c r="S16" s="19">
        <v>4.60605864560093E-4</v>
      </c>
      <c r="T16" s="19">
        <v>8.7798236676672747E-4</v>
      </c>
      <c r="U16" s="19">
        <v>4.0551341220618209E-4</v>
      </c>
      <c r="V16" s="20">
        <v>2.5849967506597071E-4</v>
      </c>
      <c r="W16" s="20">
        <v>5.8441920642138268E-4</v>
      </c>
      <c r="X16" s="20">
        <v>2.9524693599268792E-3</v>
      </c>
      <c r="AC16" s="1">
        <v>8</v>
      </c>
      <c r="AD16" s="15">
        <v>1.9135040990644486E-2</v>
      </c>
      <c r="AE16" s="15">
        <v>0.63845398642026818</v>
      </c>
      <c r="AF16" s="15">
        <v>1.317344316558253</v>
      </c>
      <c r="AG16" s="16">
        <v>4.8715402320173067E-2</v>
      </c>
      <c r="AH16" s="16">
        <v>0.30215427037751164</v>
      </c>
      <c r="AI16" s="16">
        <v>0.67595894689304226</v>
      </c>
      <c r="AJ16" s="17">
        <v>1.1173534939891177</v>
      </c>
      <c r="AK16" s="17">
        <v>0.70599131219816047</v>
      </c>
      <c r="AL16" s="17">
        <v>0.8195506122607461</v>
      </c>
      <c r="AM16" s="18">
        <v>0.16495724991956573</v>
      </c>
      <c r="AN16" s="18">
        <v>0.34316278573219616</v>
      </c>
      <c r="AO16" s="18">
        <v>5.7913691449488158E-2</v>
      </c>
      <c r="AP16" s="19">
        <v>1.6918613619409936E-4</v>
      </c>
      <c r="AQ16" s="19">
        <v>1.1459920878660326E-3</v>
      </c>
      <c r="AR16" s="19">
        <v>1.811701760586204E-3</v>
      </c>
      <c r="AS16" s="20">
        <v>7.6394201318996671E-5</v>
      </c>
      <c r="AT16" s="20">
        <v>2.9642821566382427E-3</v>
      </c>
      <c r="AU16" s="20">
        <v>2.4339292521614597E-3</v>
      </c>
      <c r="AZ16" s="1">
        <v>8</v>
      </c>
      <c r="BA16" s="15">
        <v>6.8169501875325667E-2</v>
      </c>
      <c r="BB16" s="15">
        <v>0.76005239261195223</v>
      </c>
      <c r="BC16" s="15">
        <v>1.1341413106497453</v>
      </c>
      <c r="BD16" s="16">
        <v>0.97065073441926153</v>
      </c>
      <c r="BE16" s="16">
        <v>1.5533519612754192</v>
      </c>
      <c r="BF16" s="16">
        <v>0.11742465427425741</v>
      </c>
      <c r="BG16" s="17">
        <v>0.50223462751912196</v>
      </c>
      <c r="BH16" s="17">
        <v>9.5550386651249736E-2</v>
      </c>
      <c r="BI16" s="17">
        <v>1.2544120974482069</v>
      </c>
      <c r="BJ16" s="18">
        <v>0.72520746675865311</v>
      </c>
      <c r="BK16" s="18">
        <v>1.5474491063263771</v>
      </c>
      <c r="BL16" s="18">
        <v>0.93507012971814418</v>
      </c>
      <c r="BM16" s="19">
        <v>6.1719494826839593E-4</v>
      </c>
      <c r="BN16" s="19">
        <v>7.2995300187295165E-4</v>
      </c>
      <c r="BO16" s="19">
        <v>1.988301011500937E-3</v>
      </c>
      <c r="BP16" s="20">
        <v>2.2314136513632565E-3</v>
      </c>
      <c r="BQ16" s="20">
        <v>2.5688959746275053E-3</v>
      </c>
      <c r="BR16" s="20">
        <v>3.8911032529790339E-3</v>
      </c>
      <c r="BV16" s="1">
        <v>8</v>
      </c>
      <c r="BW16" s="15">
        <v>1.9885380507556998E-2</v>
      </c>
      <c r="BX16" s="15">
        <v>0.42229860528186552</v>
      </c>
      <c r="BY16" s="15">
        <v>0.73142627791636528</v>
      </c>
      <c r="BZ16" s="16">
        <v>0.51460119580945918</v>
      </c>
      <c r="CA16" s="16">
        <v>1.2478091283026869</v>
      </c>
      <c r="CB16" s="16">
        <v>0.95719190519153985</v>
      </c>
      <c r="CC16" s="17">
        <v>0.84613759557219737</v>
      </c>
      <c r="CD16" s="17">
        <v>0.87481952932720386</v>
      </c>
      <c r="CE16" s="17">
        <v>0.18039568599762412</v>
      </c>
      <c r="CF16" s="18">
        <v>0.24549852478460282</v>
      </c>
      <c r="CG16" s="18">
        <v>0.42619898793479893</v>
      </c>
      <c r="CH16" s="18">
        <v>0.28244589170507334</v>
      </c>
      <c r="CI16" s="19">
        <v>1.8271031422323336E-4</v>
      </c>
      <c r="CJ16" s="19">
        <v>3.2902159645686879E-6</v>
      </c>
      <c r="CK16" s="19">
        <v>9.9070226120712146E-4</v>
      </c>
      <c r="CL16" s="20">
        <v>1.4354413772390551E-3</v>
      </c>
      <c r="CM16" s="20">
        <v>5.3718400180142734E-3</v>
      </c>
      <c r="CN16" s="20">
        <v>8.6491896671914148E-4</v>
      </c>
      <c r="CS16" s="1">
        <v>8</v>
      </c>
      <c r="CT16" s="15">
        <v>4.0612766824215163E-2</v>
      </c>
      <c r="CU16" s="15">
        <v>0.61753701003141925</v>
      </c>
      <c r="CV16" s="15">
        <v>1.0525336365962148</v>
      </c>
      <c r="CW16" s="16">
        <v>0.697609712107498</v>
      </c>
      <c r="CX16" s="16">
        <v>1.1178069032851798</v>
      </c>
      <c r="CY16" s="16">
        <v>9.3566317906811705E-2</v>
      </c>
      <c r="CZ16" s="17">
        <v>0.90613860739254659</v>
      </c>
      <c r="DA16" s="17">
        <v>8.546478747185933E-2</v>
      </c>
      <c r="DB16" s="17">
        <v>1.335438465823092</v>
      </c>
      <c r="DC16" s="18">
        <v>0.52067649774638403</v>
      </c>
      <c r="DD16" s="18">
        <v>0.91123703508096032</v>
      </c>
      <c r="DE16" s="18">
        <v>0.4806630055940474</v>
      </c>
      <c r="DF16" s="19">
        <v>3.7429769746821773E-4</v>
      </c>
      <c r="DG16" s="19">
        <v>2.2164375097988298E-4</v>
      </c>
      <c r="DH16" s="19">
        <v>1.1931193974696885E-3</v>
      </c>
      <c r="DI16" s="20">
        <v>1.6246747591037725E-3</v>
      </c>
      <c r="DJ16" s="20">
        <v>1.5382278539638472E-3</v>
      </c>
      <c r="DK16" s="20">
        <v>3.5671765053767457E-3</v>
      </c>
    </row>
    <row r="17" spans="6:115" ht="15.75" x14ac:dyDescent="0.25">
      <c r="F17" s="1">
        <v>9</v>
      </c>
      <c r="G17" s="15">
        <v>5.5692257036817558E-2</v>
      </c>
      <c r="H17" s="15">
        <v>0.10079267875953357</v>
      </c>
      <c r="I17" s="15">
        <v>4.6917649831134445E-2</v>
      </c>
      <c r="J17" s="16">
        <v>0.1259193529699939</v>
      </c>
      <c r="K17" s="16">
        <v>9.0559354937657655E-2</v>
      </c>
      <c r="L17" s="16">
        <v>0.68685249001416082</v>
      </c>
      <c r="M17" s="17">
        <v>0.98866312377552612</v>
      </c>
      <c r="N17" s="17">
        <v>0.58828636749856356</v>
      </c>
      <c r="O17" s="17">
        <v>0.86254494876860932</v>
      </c>
      <c r="P17" s="18">
        <v>0.46410214197347976</v>
      </c>
      <c r="Q17" s="18">
        <v>0.8399389896627607</v>
      </c>
      <c r="R17" s="18">
        <v>0.36090499870099607</v>
      </c>
      <c r="S17" s="19">
        <v>4.8981907062817243E-4</v>
      </c>
      <c r="T17" s="19">
        <v>8.8787048152605408E-4</v>
      </c>
      <c r="U17" s="19">
        <v>4.0799213321052186E-4</v>
      </c>
      <c r="V17" s="20">
        <v>2.0213576248462317E-4</v>
      </c>
      <c r="W17" s="20">
        <v>6.5288482429737293E-4</v>
      </c>
      <c r="X17" s="20">
        <v>2.8258672057539513E-3</v>
      </c>
      <c r="AC17" s="1">
        <v>9</v>
      </c>
      <c r="AD17" s="15">
        <v>2.2451867244048119E-2</v>
      </c>
      <c r="AE17" s="15">
        <v>0.6393057225191634</v>
      </c>
      <c r="AF17" s="15">
        <v>1.3160632760794801</v>
      </c>
      <c r="AG17" s="16">
        <v>3.198509391849174E-2</v>
      </c>
      <c r="AH17" s="16">
        <v>0.30506887405457139</v>
      </c>
      <c r="AI17" s="16">
        <v>0.68005657578976475</v>
      </c>
      <c r="AJ17" s="17">
        <v>1.1145152574988113</v>
      </c>
      <c r="AK17" s="17">
        <v>0.70881160366973273</v>
      </c>
      <c r="AL17" s="17">
        <v>0.81717754889420158</v>
      </c>
      <c r="AM17" s="18">
        <v>0.19355057969017841</v>
      </c>
      <c r="AN17" s="18">
        <v>0.3358202331555426</v>
      </c>
      <c r="AO17" s="18">
        <v>6.7767848978510209E-2</v>
      </c>
      <c r="AP17" s="19">
        <v>1.9851907767742816E-4</v>
      </c>
      <c r="AQ17" s="19">
        <v>1.1384241191227937E-3</v>
      </c>
      <c r="AR17" s="19">
        <v>1.8229719266351643E-3</v>
      </c>
      <c r="AS17" s="20">
        <v>2.4621480244513272E-5</v>
      </c>
      <c r="AT17" s="20">
        <v>2.9761641700671859E-3</v>
      </c>
      <c r="AU17" s="20">
        <v>2.4135353671137505E-3</v>
      </c>
      <c r="AZ17" s="1">
        <v>9</v>
      </c>
      <c r="BA17" s="15">
        <v>5.8273546086617285E-2</v>
      </c>
      <c r="BB17" s="15">
        <v>0.75466034913679159</v>
      </c>
      <c r="BC17" s="15">
        <v>1.1100893876164615</v>
      </c>
      <c r="BD17" s="16">
        <v>1.1711454172933005</v>
      </c>
      <c r="BE17" s="16">
        <v>1.6725112120117043</v>
      </c>
      <c r="BF17" s="16">
        <v>0.3831484020818598</v>
      </c>
      <c r="BG17" s="17">
        <v>0.38414464890535682</v>
      </c>
      <c r="BH17" s="17">
        <v>4.1637393038111437E-4</v>
      </c>
      <c r="BI17" s="17">
        <v>1.2676513700113954</v>
      </c>
      <c r="BJ17" s="18">
        <v>0.61993134134673022</v>
      </c>
      <c r="BK17" s="18">
        <v>1.4888399381183093</v>
      </c>
      <c r="BL17" s="18">
        <v>1.1882482669105476</v>
      </c>
      <c r="BM17" s="19">
        <v>5.2765084668526807E-4</v>
      </c>
      <c r="BN17" s="19">
        <v>6.8058129907055953E-4</v>
      </c>
      <c r="BO17" s="19">
        <v>2.2079307770425105E-3</v>
      </c>
      <c r="BP17" s="20">
        <v>2.7521952246905013E-3</v>
      </c>
      <c r="BQ17" s="20">
        <v>2.9725471430952495E-3</v>
      </c>
      <c r="BR17" s="20">
        <v>2.7847320780501894E-3</v>
      </c>
      <c r="BV17" s="1">
        <v>9</v>
      </c>
      <c r="BW17" s="15">
        <v>2.0258064266616832E-2</v>
      </c>
      <c r="BX17" s="15">
        <v>0.42254711149241664</v>
      </c>
      <c r="BY17" s="15">
        <v>0.73336163425357737</v>
      </c>
      <c r="BZ17" s="16">
        <v>0.51595843651674134</v>
      </c>
      <c r="CA17" s="16">
        <v>1.2315192705164937</v>
      </c>
      <c r="CB17" s="16">
        <v>0.97992241040523709</v>
      </c>
      <c r="CC17" s="17">
        <v>0.88860345144450936</v>
      </c>
      <c r="CD17" s="17">
        <v>0.86941181231689568</v>
      </c>
      <c r="CE17" s="17">
        <v>0.21576308134910269</v>
      </c>
      <c r="CF17" s="18">
        <v>0.25009955884712154</v>
      </c>
      <c r="CG17" s="18">
        <v>0.42915739520313173</v>
      </c>
      <c r="CH17" s="18">
        <v>0.26249376451712325</v>
      </c>
      <c r="CI17" s="19">
        <v>1.8613390348443115E-4</v>
      </c>
      <c r="CJ17" s="19">
        <v>5.5762003907666724E-6</v>
      </c>
      <c r="CK17" s="19">
        <v>9.7311619765805268E-4</v>
      </c>
      <c r="CL17" s="20">
        <v>1.44008170126253E-3</v>
      </c>
      <c r="CM17" s="20">
        <v>5.3203768636627125E-3</v>
      </c>
      <c r="CN17" s="20">
        <v>9.4468461800634174E-4</v>
      </c>
      <c r="CS17" s="1">
        <v>9</v>
      </c>
      <c r="CT17" s="15">
        <v>3.7903073242205307E-2</v>
      </c>
      <c r="CU17" s="15">
        <v>0.61776834721984497</v>
      </c>
      <c r="CV17" s="15">
        <v>1.0477679952590575</v>
      </c>
      <c r="CW17" s="16">
        <v>0.70597846424023214</v>
      </c>
      <c r="CX17" s="16">
        <v>1.1193878263430574</v>
      </c>
      <c r="CY17" s="16">
        <v>0.11857503446445114</v>
      </c>
      <c r="CZ17" s="17">
        <v>0.87279948224821202</v>
      </c>
      <c r="DA17" s="17">
        <v>9.1420988069272346E-2</v>
      </c>
      <c r="DB17" s="17">
        <v>1.3073388172168192</v>
      </c>
      <c r="DC17" s="18">
        <v>0.4859368364385474</v>
      </c>
      <c r="DD17" s="18">
        <v>0.91432153092654977</v>
      </c>
      <c r="DE17" s="18">
        <v>0.54255445153126358</v>
      </c>
      <c r="DF17" s="19">
        <v>3.493339269989848E-4</v>
      </c>
      <c r="DG17" s="19">
        <v>2.2379743751088643E-4</v>
      </c>
      <c r="DH17" s="19">
        <v>1.2375145655834086E-3</v>
      </c>
      <c r="DI17" s="20">
        <v>1.6521253323346086E-3</v>
      </c>
      <c r="DJ17" s="20">
        <v>1.5423829334613171E-3</v>
      </c>
      <c r="DK17" s="20">
        <v>3.4565976815645882E-3</v>
      </c>
    </row>
    <row r="18" spans="6:115" ht="15.75" x14ac:dyDescent="0.25">
      <c r="F18" s="1">
        <v>10</v>
      </c>
      <c r="G18" s="15">
        <v>5.5780933379968096E-2</v>
      </c>
      <c r="H18" s="15">
        <v>0.10303520302323643</v>
      </c>
      <c r="I18" s="15">
        <v>4.8156971359850101E-2</v>
      </c>
      <c r="J18" s="16">
        <v>0.11664813656558144</v>
      </c>
      <c r="K18" s="16">
        <v>0.10359505867247377</v>
      </c>
      <c r="L18" s="16">
        <v>0.66143257608486161</v>
      </c>
      <c r="M18" s="17">
        <v>0.92354817889448559</v>
      </c>
      <c r="N18" s="17">
        <v>0.58093380185351784</v>
      </c>
      <c r="O18" s="17">
        <v>0.78693654256269341</v>
      </c>
      <c r="P18" s="18">
        <v>0.46484111149978979</v>
      </c>
      <c r="Q18" s="18">
        <v>0.85862669186032159</v>
      </c>
      <c r="R18" s="18">
        <v>0.37043824122964147</v>
      </c>
      <c r="S18" s="19">
        <v>4.9059855329147695E-4</v>
      </c>
      <c r="T18" s="19">
        <v>9.0764498045270425E-4</v>
      </c>
      <c r="U18" s="19">
        <v>4.1876398677753723E-4</v>
      </c>
      <c r="V18" s="20">
        <v>1.7519553989142622E-4</v>
      </c>
      <c r="W18" s="20">
        <v>7.0500758438130084E-4</v>
      </c>
      <c r="X18" s="20">
        <v>2.7324064928756497E-3</v>
      </c>
      <c r="AC18" s="1">
        <v>10</v>
      </c>
      <c r="AD18" s="15">
        <v>1.8852275399004611E-3</v>
      </c>
      <c r="AE18" s="15">
        <v>0.63641147584277591</v>
      </c>
      <c r="AF18" s="15">
        <v>1.3438584289120059</v>
      </c>
      <c r="AG18" s="16">
        <v>3.1823913894430747E-2</v>
      </c>
      <c r="AH18" s="16">
        <v>0.34488868677911</v>
      </c>
      <c r="AI18" s="16">
        <v>0.61761804661746522</v>
      </c>
      <c r="AJ18" s="17">
        <v>1.2467035284406978</v>
      </c>
      <c r="AK18" s="17">
        <v>0.63932211310858145</v>
      </c>
      <c r="AL18" s="17">
        <v>0.84303121740494114</v>
      </c>
      <c r="AM18" s="18">
        <v>1.6251961550627806E-2</v>
      </c>
      <c r="AN18" s="18">
        <v>0.36077063553815042</v>
      </c>
      <c r="AO18" s="18">
        <v>0.14604101896384453</v>
      </c>
      <c r="AP18" s="19">
        <v>1.6665097277490659E-5</v>
      </c>
      <c r="AQ18" s="19">
        <v>1.1641399695631047E-3</v>
      </c>
      <c r="AR18" s="19">
        <v>1.5783737414972743E-3</v>
      </c>
      <c r="AS18" s="20">
        <v>8.7038763769808902E-5</v>
      </c>
      <c r="AT18" s="20">
        <v>3.0923122268552423E-3</v>
      </c>
      <c r="AU18" s="20">
        <v>2.7558044841134999E-3</v>
      </c>
      <c r="AZ18" s="1">
        <v>10</v>
      </c>
      <c r="BA18" s="15">
        <v>4.4906029285576521E-2</v>
      </c>
      <c r="BB18" s="15">
        <v>0.76705948048699235</v>
      </c>
      <c r="BC18" s="15">
        <v>1.1207556165272599</v>
      </c>
      <c r="BD18" s="16">
        <v>1.2712444677214778</v>
      </c>
      <c r="BE18" s="16">
        <v>1.5990944583160966</v>
      </c>
      <c r="BF18" s="16">
        <v>0.44497788561453316</v>
      </c>
      <c r="BG18" s="17">
        <v>0.3699129852329629</v>
      </c>
      <c r="BH18" s="17">
        <v>3.2042749442244119E-2</v>
      </c>
      <c r="BI18" s="17">
        <v>1.1727909606383657</v>
      </c>
      <c r="BJ18" s="18">
        <v>0.47772371580397688</v>
      </c>
      <c r="BK18" s="18">
        <v>1.623613104968058</v>
      </c>
      <c r="BL18" s="18">
        <v>1.0759721731127712</v>
      </c>
      <c r="BM18" s="19">
        <v>4.0666600777061745E-4</v>
      </c>
      <c r="BN18" s="19">
        <v>7.9412071273621265E-4</v>
      </c>
      <c r="BO18" s="19">
        <v>2.1105454569055881E-3</v>
      </c>
      <c r="BP18" s="20">
        <v>3.033392790808831E-3</v>
      </c>
      <c r="BQ18" s="20">
        <v>2.6946581614919474E-3</v>
      </c>
      <c r="BR18" s="20">
        <v>2.589560231364918E-3</v>
      </c>
      <c r="BV18" s="1">
        <v>10</v>
      </c>
      <c r="BW18" s="15">
        <v>2.5721202095255916E-2</v>
      </c>
      <c r="BX18" s="15">
        <v>0.42299346751912859</v>
      </c>
      <c r="BY18" s="15">
        <v>0.73824213241114844</v>
      </c>
      <c r="BZ18" s="16">
        <v>0.52602316067113619</v>
      </c>
      <c r="CA18" s="16">
        <v>1.2397858223091989</v>
      </c>
      <c r="CB18" s="16">
        <v>0.91541686570065661</v>
      </c>
      <c r="CC18" s="17">
        <v>0.87035532784134373</v>
      </c>
      <c r="CD18" s="17">
        <v>0.85194982109567241</v>
      </c>
      <c r="CE18" s="17">
        <v>0.17539742601240274</v>
      </c>
      <c r="CF18" s="18">
        <v>0.31754570487970285</v>
      </c>
      <c r="CG18" s="18">
        <v>0.434471157425937</v>
      </c>
      <c r="CH18" s="18">
        <v>0.21217935052169978</v>
      </c>
      <c r="CI18" s="19">
        <v>2.3631706366589178E-4</v>
      </c>
      <c r="CJ18" s="19">
        <v>9.6822146572472789E-6</v>
      </c>
      <c r="CK18" s="19">
        <v>9.2876537575992124E-4</v>
      </c>
      <c r="CL18" s="20">
        <v>1.481700402646946E-3</v>
      </c>
      <c r="CM18" s="20">
        <v>5.34836070637279E-3</v>
      </c>
      <c r="CN18" s="20">
        <v>6.7867722292325183E-4</v>
      </c>
      <c r="CS18" s="1">
        <v>10</v>
      </c>
      <c r="CT18" s="15">
        <v>4.1911880182812E-2</v>
      </c>
      <c r="CU18" s="15">
        <v>0.61704454216588134</v>
      </c>
      <c r="CV18" s="15">
        <v>1.054336359349938</v>
      </c>
      <c r="CW18" s="16">
        <v>0.71461127634076949</v>
      </c>
      <c r="CX18" s="16">
        <v>1.1173993977214891</v>
      </c>
      <c r="CY18" s="16">
        <v>9.2200641964709076E-2</v>
      </c>
      <c r="CZ18" s="17">
        <v>0.92534714922926464</v>
      </c>
      <c r="DA18" s="17">
        <v>7.7806107619725368E-2</v>
      </c>
      <c r="DB18" s="17">
        <v>1.3378577813347698</v>
      </c>
      <c r="DC18" s="18">
        <v>0.5373317972155025</v>
      </c>
      <c r="DD18" s="18">
        <v>0.90467079687386387</v>
      </c>
      <c r="DE18" s="18">
        <v>0.4572510217795146</v>
      </c>
      <c r="DF18" s="19">
        <v>3.8626564409161013E-4</v>
      </c>
      <c r="DG18" s="19">
        <v>2.1705904200286508E-4</v>
      </c>
      <c r="DH18" s="19">
        <v>1.1763247025122769E-3</v>
      </c>
      <c r="DI18" s="20">
        <v>1.6634978955860635E-3</v>
      </c>
      <c r="DJ18" s="20">
        <v>1.5384815810141061E-3</v>
      </c>
      <c r="DK18" s="20">
        <v>3.5789896466483784E-3</v>
      </c>
    </row>
    <row r="19" spans="6:115" ht="15.75" x14ac:dyDescent="0.25">
      <c r="F19" s="1">
        <v>11</v>
      </c>
      <c r="G19" s="15">
        <v>4.188201284585133E-2</v>
      </c>
      <c r="H19" s="15">
        <v>0.10138963753191475</v>
      </c>
      <c r="I19" s="15">
        <v>6.8718589458807391E-2</v>
      </c>
      <c r="J19" s="16">
        <v>0.14742564804140101</v>
      </c>
      <c r="K19" s="16">
        <v>6.6106172712473807E-2</v>
      </c>
      <c r="L19" s="16">
        <v>0.74173831625129416</v>
      </c>
      <c r="M19" s="17">
        <v>0.85895475111584452</v>
      </c>
      <c r="N19" s="17">
        <v>0.63079186964466716</v>
      </c>
      <c r="O19" s="17">
        <v>0.79440545391972739</v>
      </c>
      <c r="P19" s="18">
        <v>0.34901677371542777</v>
      </c>
      <c r="Q19" s="18">
        <v>0.84491364609936337</v>
      </c>
      <c r="R19" s="18">
        <v>0.52860453429851839</v>
      </c>
      <c r="S19" s="19">
        <v>3.6840741660193466E-4</v>
      </c>
      <c r="T19" s="19">
        <v>8.9313435596694024E-4</v>
      </c>
      <c r="U19" s="19">
        <v>5.9744117514326511E-4</v>
      </c>
      <c r="V19" s="20">
        <v>3.0382552081087422E-4</v>
      </c>
      <c r="W19" s="20">
        <v>5.7151931023013958E-4</v>
      </c>
      <c r="X19" s="20">
        <v>3.121616663739446E-3</v>
      </c>
      <c r="AC19" s="1">
        <v>11</v>
      </c>
      <c r="AD19" s="15">
        <v>2.714858495310209E-2</v>
      </c>
      <c r="AE19" s="15">
        <v>0.64091059232950032</v>
      </c>
      <c r="AF19" s="15">
        <v>1.3046474997385831</v>
      </c>
      <c r="AG19" s="16">
        <v>2.1512140336817531E-2</v>
      </c>
      <c r="AH19" s="16">
        <v>0.29451446541028115</v>
      </c>
      <c r="AI19" s="16">
        <v>0.76523383826162772</v>
      </c>
      <c r="AJ19" s="17">
        <v>1.024944285237767</v>
      </c>
      <c r="AK19" s="17">
        <v>0.71969777218673781</v>
      </c>
      <c r="AL19" s="17">
        <v>0.73939890936599062</v>
      </c>
      <c r="AM19" s="18">
        <v>0.23403952545801507</v>
      </c>
      <c r="AN19" s="18">
        <v>0.32198514858361571</v>
      </c>
      <c r="AO19" s="18">
        <v>0.15558151313935206</v>
      </c>
      <c r="AP19" s="19">
        <v>2.4005866351584082E-4</v>
      </c>
      <c r="AQ19" s="19">
        <v>1.1241639452596044E-3</v>
      </c>
      <c r="AR19" s="19">
        <v>1.9233911918357107E-3</v>
      </c>
      <c r="AS19" s="20">
        <v>1.2568447308070052E-4</v>
      </c>
      <c r="AT19" s="20">
        <v>2.9480379573861848E-3</v>
      </c>
      <c r="AU19" s="20">
        <v>2.0474814185876817E-3</v>
      </c>
      <c r="AZ19" s="1">
        <v>11</v>
      </c>
      <c r="BA19" s="15">
        <v>8.9434929504950134E-2</v>
      </c>
      <c r="BB19" s="15">
        <v>0.75656891112571978</v>
      </c>
      <c r="BC19" s="15">
        <v>1.1590602518829896</v>
      </c>
      <c r="BD19" s="16">
        <v>0.85520092347374943</v>
      </c>
      <c r="BE19" s="16">
        <v>1.5182182176771342</v>
      </c>
      <c r="BF19" s="16">
        <v>0.12234745607108309</v>
      </c>
      <c r="BG19" s="17">
        <v>0.70226378148771273</v>
      </c>
      <c r="BH19" s="17">
        <v>0.17298703621391995</v>
      </c>
      <c r="BI19" s="17">
        <v>1.3604874832668348</v>
      </c>
      <c r="BJ19" s="18">
        <v>0.95143542026542816</v>
      </c>
      <c r="BK19" s="18">
        <v>1.5095851771282178</v>
      </c>
      <c r="BL19" s="18">
        <v>0.67276548515762058</v>
      </c>
      <c r="BM19" s="19">
        <v>8.0955643508762165E-4</v>
      </c>
      <c r="BN19" s="19">
        <v>6.98056241225542E-4</v>
      </c>
      <c r="BO19" s="19">
        <v>1.760641344187297E-3</v>
      </c>
      <c r="BP19" s="20">
        <v>1.8928370937753012E-3</v>
      </c>
      <c r="BQ19" s="20">
        <v>2.4662154681133197E-3</v>
      </c>
      <c r="BR19" s="20">
        <v>4.9000051802136069E-3</v>
      </c>
      <c r="BV19" s="1">
        <v>11</v>
      </c>
      <c r="BW19" s="15">
        <v>1.3599335184204127E-2</v>
      </c>
      <c r="BX19" s="15">
        <v>0.42395517323765747</v>
      </c>
      <c r="BY19" s="15">
        <v>0.72648591867148471</v>
      </c>
      <c r="BZ19" s="16">
        <v>0.48158503843562961</v>
      </c>
      <c r="CA19" s="16">
        <v>1.1904240531254979</v>
      </c>
      <c r="CB19" s="16">
        <v>1.0679562412975474</v>
      </c>
      <c r="CC19" s="17">
        <v>0.81737224785530249</v>
      </c>
      <c r="CD19" s="17">
        <v>0.91730273047094313</v>
      </c>
      <c r="CE19" s="17">
        <v>0.21972268395120445</v>
      </c>
      <c r="CF19" s="18">
        <v>0.16789302696555192</v>
      </c>
      <c r="CG19" s="18">
        <v>0.44592003502740535</v>
      </c>
      <c r="CH19" s="18">
        <v>0.33337743031200517</v>
      </c>
      <c r="CI19" s="19">
        <v>1.2496089649172148E-4</v>
      </c>
      <c r="CJ19" s="19">
        <v>1.8529038721681879E-5</v>
      </c>
      <c r="CK19" s="19">
        <v>1.0355908703622019E-3</v>
      </c>
      <c r="CL19" s="20">
        <v>1.3299788819495229E-3</v>
      </c>
      <c r="CM19" s="20">
        <v>5.1930842518830289E-3</v>
      </c>
      <c r="CN19" s="20">
        <v>1.3087404635957478E-3</v>
      </c>
      <c r="CS19" s="1">
        <v>11</v>
      </c>
      <c r="CT19" s="15">
        <v>3.7403719617918489E-2</v>
      </c>
      <c r="CU19" s="15">
        <v>0.61830509310860404</v>
      </c>
      <c r="CV19" s="15">
        <v>1.0508840444546004</v>
      </c>
      <c r="CW19" s="16">
        <v>0.70403029751352186</v>
      </c>
      <c r="CX19" s="16">
        <v>1.134425863966936</v>
      </c>
      <c r="CY19" s="16">
        <v>0.11914160889407352</v>
      </c>
      <c r="CZ19" s="17">
        <v>0.91660776263666333</v>
      </c>
      <c r="DA19" s="17">
        <v>8.87393763618885E-2</v>
      </c>
      <c r="DB19" s="17">
        <v>1.3487065437438222</v>
      </c>
      <c r="DC19" s="18">
        <v>0.47953486689646257</v>
      </c>
      <c r="DD19" s="18">
        <v>0.9214781427766956</v>
      </c>
      <c r="DE19" s="18">
        <v>0.50208628016061163</v>
      </c>
      <c r="DF19" s="19">
        <v>3.4473335178097919E-4</v>
      </c>
      <c r="DG19" s="19">
        <v>2.2879443489476348E-4</v>
      </c>
      <c r="DH19" s="19">
        <v>1.2084869464532577E-3</v>
      </c>
      <c r="DI19" s="20">
        <v>1.6485493815026064E-3</v>
      </c>
      <c r="DJ19" s="20">
        <v>1.5869999203669272E-3</v>
      </c>
      <c r="DK19" s="20">
        <v>3.466161170852966E-3</v>
      </c>
    </row>
    <row r="20" spans="6:115" ht="15.75" x14ac:dyDescent="0.25">
      <c r="F20" s="1">
        <v>12</v>
      </c>
      <c r="G20" s="15">
        <v>5.3638860463162324E-2</v>
      </c>
      <c r="H20" s="15">
        <v>0.10417406006592177</v>
      </c>
      <c r="I20" s="15">
        <v>4.8348366070806607E-2</v>
      </c>
      <c r="J20" s="16">
        <v>0.12085078221661877</v>
      </c>
      <c r="K20" s="16">
        <v>0.10081215461711796</v>
      </c>
      <c r="L20" s="16">
        <v>0.66248384974014152</v>
      </c>
      <c r="M20" s="17">
        <v>0.89368277629042026</v>
      </c>
      <c r="N20" s="17">
        <v>0.58969972874114851</v>
      </c>
      <c r="O20" s="17">
        <v>0.76862650114706543</v>
      </c>
      <c r="P20" s="18">
        <v>0.44699050385965833</v>
      </c>
      <c r="Q20" s="18">
        <v>0.86811716721605126</v>
      </c>
      <c r="R20" s="18">
        <v>0.37191050823701188</v>
      </c>
      <c r="S20" s="19">
        <v>4.7176892060274422E-4</v>
      </c>
      <c r="T20" s="19">
        <v>9.1768772113787211E-4</v>
      </c>
      <c r="U20" s="19">
        <v>4.2042751498205799E-4</v>
      </c>
      <c r="V20" s="20">
        <v>1.9346134402664639E-4</v>
      </c>
      <c r="W20" s="20">
        <v>6.9940850229466278E-4</v>
      </c>
      <c r="X20" s="20">
        <v>2.7372019831698458E-3</v>
      </c>
      <c r="AC20" s="1">
        <v>12</v>
      </c>
      <c r="AD20" s="15">
        <v>2.388026547118698E-2</v>
      </c>
      <c r="AE20" s="15">
        <v>0.64109523924935108</v>
      </c>
      <c r="AF20" s="15">
        <v>1.316192502267602</v>
      </c>
      <c r="AG20" s="16">
        <v>2.9476414914669118E-2</v>
      </c>
      <c r="AH20" s="16">
        <v>0.30166970167968876</v>
      </c>
      <c r="AI20" s="16">
        <v>0.6935568988959997</v>
      </c>
      <c r="AJ20" s="17">
        <v>1.0833863273956881</v>
      </c>
      <c r="AK20" s="17">
        <v>0.71715883203006758</v>
      </c>
      <c r="AL20" s="17">
        <v>0.80018126565030379</v>
      </c>
      <c r="AM20" s="18">
        <v>0.20586435751044929</v>
      </c>
      <c r="AN20" s="18">
        <v>0.32039336479189934</v>
      </c>
      <c r="AO20" s="18">
        <v>6.6773801377591174E-2</v>
      </c>
      <c r="AP20" s="19">
        <v>2.1115197041665645E-4</v>
      </c>
      <c r="AQ20" s="19">
        <v>1.1225232236340421E-3</v>
      </c>
      <c r="AR20" s="19">
        <v>1.8218350510847967E-3</v>
      </c>
      <c r="AS20" s="20">
        <v>1.445340989025823E-5</v>
      </c>
      <c r="AT20" s="20">
        <v>2.9711503576248521E-3</v>
      </c>
      <c r="AU20" s="20">
        <v>2.3629151113617737E-3</v>
      </c>
      <c r="AZ20" s="1">
        <v>12</v>
      </c>
      <c r="BA20" s="15">
        <v>3.7132910681491632E-2</v>
      </c>
      <c r="BB20" s="15">
        <v>0.76489944000967092</v>
      </c>
      <c r="BC20" s="15">
        <v>1.1003257229928163</v>
      </c>
      <c r="BD20" s="16">
        <v>0.99374626814564204</v>
      </c>
      <c r="BE20" s="16">
        <v>1.6723112826425464</v>
      </c>
      <c r="BF20" s="16">
        <v>0.32805947566417293</v>
      </c>
      <c r="BG20" s="17">
        <v>0.27849938295892451</v>
      </c>
      <c r="BH20" s="17">
        <v>3.5454471358036484E-2</v>
      </c>
      <c r="BI20" s="17">
        <v>1.2400301526267592</v>
      </c>
      <c r="BJ20" s="18">
        <v>0.39503096469657395</v>
      </c>
      <c r="BK20" s="18">
        <v>1.6001344041278076</v>
      </c>
      <c r="BL20" s="18">
        <v>1.2910236840015366</v>
      </c>
      <c r="BM20" s="19">
        <v>3.3629929305800665E-4</v>
      </c>
      <c r="BN20" s="19">
        <v>7.7433908229274095E-4</v>
      </c>
      <c r="BO20" s="19">
        <v>2.2970570461957602E-3</v>
      </c>
      <c r="BP20" s="20">
        <v>2.3660606563510322E-3</v>
      </c>
      <c r="BQ20" s="20">
        <v>2.9390027934387279E-3</v>
      </c>
      <c r="BR20" s="20">
        <v>2.957520747661424E-3</v>
      </c>
      <c r="BV20" s="1">
        <v>12</v>
      </c>
      <c r="BW20" s="15">
        <v>2.1501684026749221E-2</v>
      </c>
      <c r="BX20" s="15">
        <v>0.42333062197948734</v>
      </c>
      <c r="BY20" s="15">
        <v>0.73306106935057702</v>
      </c>
      <c r="BZ20" s="16">
        <v>0.52265944394425523</v>
      </c>
      <c r="CA20" s="16">
        <v>1.2288030199515083</v>
      </c>
      <c r="CB20" s="16">
        <v>0.93812003433625013</v>
      </c>
      <c r="CC20" s="17">
        <v>0.85405809574719294</v>
      </c>
      <c r="CD20" s="17">
        <v>0.86933039634360754</v>
      </c>
      <c r="CE20" s="17">
        <v>0.18935354095421525</v>
      </c>
      <c r="CF20" s="18">
        <v>0.26545288921909194</v>
      </c>
      <c r="CG20" s="18">
        <v>0.43848490100157039</v>
      </c>
      <c r="CH20" s="18">
        <v>0.26559237176471873</v>
      </c>
      <c r="CI20" s="19">
        <v>1.975579979093256E-4</v>
      </c>
      <c r="CJ20" s="19">
        <v>1.2783711745067983E-5</v>
      </c>
      <c r="CK20" s="19">
        <v>9.7584739523248754E-4</v>
      </c>
      <c r="CL20" s="20">
        <v>1.461398619766352E-3</v>
      </c>
      <c r="CM20" s="20">
        <v>5.3142162775751123E-3</v>
      </c>
      <c r="CN20" s="20">
        <v>7.8553744459908259E-4</v>
      </c>
      <c r="CS20" s="1">
        <v>12</v>
      </c>
      <c r="CT20" s="15">
        <v>3.8229540424841613E-2</v>
      </c>
      <c r="CU20" s="15">
        <v>0.6184552312964402</v>
      </c>
      <c r="CV20" s="15">
        <v>1.0512244068070904</v>
      </c>
      <c r="CW20" s="16">
        <v>0.72582406958511347</v>
      </c>
      <c r="CX20" s="16">
        <v>1.1091060458350137</v>
      </c>
      <c r="CY20" s="16">
        <v>0.10524339206702406</v>
      </c>
      <c r="CZ20" s="17">
        <v>0.90061255219694281</v>
      </c>
      <c r="DA20" s="17">
        <v>8.3487767322002276E-2</v>
      </c>
      <c r="DB20" s="17">
        <v>1.3218766696396449</v>
      </c>
      <c r="DC20" s="18">
        <v>0.49012231313906673</v>
      </c>
      <c r="DD20" s="18">
        <v>0.9234799852812654</v>
      </c>
      <c r="DE20" s="18">
        <v>0.49766598986846244</v>
      </c>
      <c r="DF20" s="19">
        <v>3.5234166411812762E-4</v>
      </c>
      <c r="DG20" s="19">
        <v>2.3019220119890882E-4</v>
      </c>
      <c r="DH20" s="19">
        <v>1.2053161833386339E-3</v>
      </c>
      <c r="DI20" s="20">
        <v>1.7004082383257346E-3</v>
      </c>
      <c r="DJ20" s="20">
        <v>1.5086526362836361E-3</v>
      </c>
      <c r="DK20" s="20">
        <v>3.5189754160360742E-3</v>
      </c>
    </row>
    <row r="21" spans="6:115" ht="15.75" x14ac:dyDescent="0.25">
      <c r="F21" s="1">
        <v>13</v>
      </c>
      <c r="G21" s="15">
        <v>4.7260800812822711E-2</v>
      </c>
      <c r="H21" s="15">
        <v>0.10356598026141646</v>
      </c>
      <c r="I21" s="15">
        <v>5.2519043845377832E-2</v>
      </c>
      <c r="J21" s="16">
        <v>0.13702661385711046</v>
      </c>
      <c r="K21" s="16">
        <v>8.4894546709127952E-2</v>
      </c>
      <c r="L21" s="16">
        <v>0.69741965484712154</v>
      </c>
      <c r="M21" s="17">
        <v>0.95106871763240408</v>
      </c>
      <c r="N21" s="17">
        <v>0.59429939935184906</v>
      </c>
      <c r="O21" s="17">
        <v>0.82877803037524156</v>
      </c>
      <c r="P21" s="18">
        <v>0.39384000677353659</v>
      </c>
      <c r="Q21" s="18">
        <v>0.86304983551172931</v>
      </c>
      <c r="R21" s="18">
        <v>0.40399264496440679</v>
      </c>
      <c r="S21" s="19">
        <v>4.1569858467271903E-4</v>
      </c>
      <c r="T21" s="19">
        <v>9.123254851322038E-4</v>
      </c>
      <c r="U21" s="19">
        <v>4.5667583967035069E-4</v>
      </c>
      <c r="V21" s="20">
        <v>2.5839409920325185E-4</v>
      </c>
      <c r="W21" s="20">
        <v>6.4304072048171346E-4</v>
      </c>
      <c r="X21" s="20">
        <v>2.8881870877347504E-3</v>
      </c>
      <c r="AC21" s="1">
        <v>13</v>
      </c>
      <c r="AD21" s="15">
        <v>1.2767374740110063E-2</v>
      </c>
      <c r="AE21" s="15">
        <v>0.63669080027815284</v>
      </c>
      <c r="AF21" s="15">
        <v>1.3156213073609064</v>
      </c>
      <c r="AG21" s="16">
        <v>4.6260730419978087E-2</v>
      </c>
      <c r="AH21" s="16">
        <v>0.32173834017731351</v>
      </c>
      <c r="AI21" s="16">
        <v>0.65001533369735787</v>
      </c>
      <c r="AJ21" s="17">
        <v>1.0938341564298475</v>
      </c>
      <c r="AK21" s="17">
        <v>0.68243221383588104</v>
      </c>
      <c r="AL21" s="17">
        <v>0.75919603496834953</v>
      </c>
      <c r="AM21" s="18">
        <v>0.11006357534594977</v>
      </c>
      <c r="AN21" s="18">
        <v>0.35836266626773161</v>
      </c>
      <c r="AO21" s="18">
        <v>7.1167608352153758E-2</v>
      </c>
      <c r="AP21" s="19">
        <v>1.1287800426063033E-4</v>
      </c>
      <c r="AQ21" s="19">
        <v>1.1616581920326219E-3</v>
      </c>
      <c r="AR21" s="19">
        <v>1.8268601518403038E-3</v>
      </c>
      <c r="AS21" s="20">
        <v>8.6494273213943984E-5</v>
      </c>
      <c r="AT21" s="20">
        <v>3.0203282710447032E-3</v>
      </c>
      <c r="AU21" s="20">
        <v>2.5255697675284905E-3</v>
      </c>
      <c r="AZ21" s="1">
        <v>13</v>
      </c>
      <c r="BA21" s="15">
        <v>6.1347784431185291E-2</v>
      </c>
      <c r="BB21" s="15">
        <v>0.76123461818955118</v>
      </c>
      <c r="BC21" s="15">
        <v>1.1290141398192606</v>
      </c>
      <c r="BD21" s="16">
        <v>1.0186276562256518</v>
      </c>
      <c r="BE21" s="16">
        <v>1.6030728516053188</v>
      </c>
      <c r="BF21" s="16">
        <v>0.14609933695383853</v>
      </c>
      <c r="BG21" s="17">
        <v>0.34429584194718016</v>
      </c>
      <c r="BH21" s="17">
        <v>4.3249169891166825E-2</v>
      </c>
      <c r="BI21" s="17">
        <v>1.3535106076502108</v>
      </c>
      <c r="BJ21" s="18">
        <v>0.65263600458701998</v>
      </c>
      <c r="BK21" s="18">
        <v>1.5602993843438369</v>
      </c>
      <c r="BL21" s="18">
        <v>0.98904034898631765</v>
      </c>
      <c r="BM21" s="19">
        <v>5.554701583110333E-4</v>
      </c>
      <c r="BN21" s="19">
        <v>7.4077864837751584E-4</v>
      </c>
      <c r="BO21" s="19">
        <v>2.0351286546397285E-3</v>
      </c>
      <c r="BP21" s="20">
        <v>2.3671367645681225E-3</v>
      </c>
      <c r="BQ21" s="20">
        <v>2.7262822110722951E-3</v>
      </c>
      <c r="BR21" s="20">
        <v>3.7620673841343155E-3</v>
      </c>
      <c r="BV21" s="1">
        <v>13</v>
      </c>
      <c r="BW21" s="15">
        <v>2.5969059899105622E-2</v>
      </c>
      <c r="BX21" s="15">
        <v>0.42267468554324955</v>
      </c>
      <c r="BY21" s="15">
        <v>0.73956601844759562</v>
      </c>
      <c r="BZ21" s="16">
        <v>0.55843268313062056</v>
      </c>
      <c r="CA21" s="16">
        <v>1.268414415016677</v>
      </c>
      <c r="CB21" s="16">
        <v>0.8662320539931706</v>
      </c>
      <c r="CC21" s="17">
        <v>0.87778879866513382</v>
      </c>
      <c r="CD21" s="17">
        <v>0.85365575951986283</v>
      </c>
      <c r="CE21" s="17">
        <v>0.19115922561433002</v>
      </c>
      <c r="CF21" s="18">
        <v>0.32060567776673626</v>
      </c>
      <c r="CG21" s="18">
        <v>0.43067613390369974</v>
      </c>
      <c r="CH21" s="18">
        <v>0.19853104086756238</v>
      </c>
      <c r="CI21" s="19">
        <v>2.3859369993195489E-4</v>
      </c>
      <c r="CJ21" s="19">
        <v>6.7497460907173235E-6</v>
      </c>
      <c r="CK21" s="19">
        <v>9.1673400068437161E-4</v>
      </c>
      <c r="CL21" s="20">
        <v>1.5693916595252988E-3</v>
      </c>
      <c r="CM21" s="20">
        <v>5.4391857409873401E-3</v>
      </c>
      <c r="CN21" s="20">
        <v>4.8510761214681786E-4</v>
      </c>
      <c r="CS21" s="1">
        <v>13</v>
      </c>
      <c r="CT21" s="15">
        <v>4.1980441906797859E-2</v>
      </c>
      <c r="CU21" s="15">
        <v>0.61737672903854368</v>
      </c>
      <c r="CV21" s="15">
        <v>1.0539100093266378</v>
      </c>
      <c r="CW21" s="16">
        <v>0.72133442121615809</v>
      </c>
      <c r="CX21" s="16">
        <v>1.1036618443100461</v>
      </c>
      <c r="CY21" s="16">
        <v>9.0254025864934653E-2</v>
      </c>
      <c r="CZ21" s="17">
        <v>0.92357826654315467</v>
      </c>
      <c r="DA21" s="17">
        <v>6.052504974877692E-2</v>
      </c>
      <c r="DB21" s="17">
        <v>1.3026362985458664</v>
      </c>
      <c r="DC21" s="18">
        <v>0.53821079367691349</v>
      </c>
      <c r="DD21" s="18">
        <v>0.90909995517600206</v>
      </c>
      <c r="DE21" s="18">
        <v>0.46278803506919974</v>
      </c>
      <c r="DF21" s="19">
        <v>3.8689725320406598E-4</v>
      </c>
      <c r="DG21" s="19">
        <v>2.2015158425281456E-4</v>
      </c>
      <c r="DH21" s="19">
        <v>1.1802967598768532E-3</v>
      </c>
      <c r="DI21" s="20">
        <v>1.6799588458435988E-3</v>
      </c>
      <c r="DJ21" s="20">
        <v>1.4952071497328356E-3</v>
      </c>
      <c r="DK21" s="20">
        <v>3.5846112771978911E-3</v>
      </c>
    </row>
    <row r="22" spans="6:115" ht="15.75" x14ac:dyDescent="0.25">
      <c r="F22" s="1">
        <v>14</v>
      </c>
      <c r="G22" s="15">
        <v>5.3918459088651921E-2</v>
      </c>
      <c r="H22" s="15">
        <v>0.10009088315337429</v>
      </c>
      <c r="I22" s="15">
        <v>4.97161724471398E-2</v>
      </c>
      <c r="J22" s="16">
        <v>0.13794679468248153</v>
      </c>
      <c r="K22" s="16">
        <v>7.9987184968492706E-2</v>
      </c>
      <c r="L22" s="16">
        <v>0.69397112890637347</v>
      </c>
      <c r="M22" s="17">
        <v>0.95148922955881843</v>
      </c>
      <c r="N22" s="17">
        <v>0.59628744092232988</v>
      </c>
      <c r="O22" s="17">
        <v>0.82979606909742609</v>
      </c>
      <c r="P22" s="18">
        <v>0.44932049240548838</v>
      </c>
      <c r="Q22" s="18">
        <v>0.83409069294471139</v>
      </c>
      <c r="R22" s="18">
        <v>0.38243209574729253</v>
      </c>
      <c r="S22" s="19">
        <v>4.7422674422703537E-4</v>
      </c>
      <c r="T22" s="19">
        <v>8.8168225530560473E-4</v>
      </c>
      <c r="U22" s="19">
        <v>4.3231576943669747E-4</v>
      </c>
      <c r="V22" s="20">
        <v>2.4186303122963881E-4</v>
      </c>
      <c r="W22" s="20">
        <v>6.1442818697532442E-4</v>
      </c>
      <c r="X22" s="20">
        <v>2.8641098211537042E-3</v>
      </c>
      <c r="AC22" s="1">
        <v>14</v>
      </c>
      <c r="AD22" s="15">
        <v>1.5411179020676537E-2</v>
      </c>
      <c r="AE22" s="15">
        <v>0.63699012278997635</v>
      </c>
      <c r="AF22" s="15">
        <v>1.3203485408540276</v>
      </c>
      <c r="AG22" s="16">
        <v>3.0573570054055945E-2</v>
      </c>
      <c r="AH22" s="16">
        <v>0.30632451693803331</v>
      </c>
      <c r="AI22" s="16">
        <v>0.68318951114285564</v>
      </c>
      <c r="AJ22" s="17">
        <v>1.1288746032242816</v>
      </c>
      <c r="AK22" s="17">
        <v>0.70758392634822265</v>
      </c>
      <c r="AL22" s="17">
        <v>0.83267755833238366</v>
      </c>
      <c r="AM22" s="18">
        <v>0.13285499155777306</v>
      </c>
      <c r="AN22" s="18">
        <v>0.35578229978646614</v>
      </c>
      <c r="AO22" s="18">
        <v>3.4804273789758498E-2</v>
      </c>
      <c r="AP22" s="19">
        <v>1.362558211716047E-4</v>
      </c>
      <c r="AQ22" s="19">
        <v>1.1589987175427696E-3</v>
      </c>
      <c r="AR22" s="19">
        <v>1.7852704513920958E-3</v>
      </c>
      <c r="AS22" s="20">
        <v>3.9157101122566651E-5</v>
      </c>
      <c r="AT22" s="20">
        <v>2.9727581773587586E-3</v>
      </c>
      <c r="AU22" s="20">
        <v>2.4180026320685943E-3</v>
      </c>
      <c r="AZ22" s="1">
        <v>14</v>
      </c>
      <c r="BA22" s="15">
        <v>4.4889330527533466E-2</v>
      </c>
      <c r="BB22" s="15">
        <v>0.77243196842150752</v>
      </c>
      <c r="BC22" s="15">
        <v>1.1328938897654752</v>
      </c>
      <c r="BD22" s="16">
        <v>1.047090700176849</v>
      </c>
      <c r="BE22" s="16">
        <v>1.6092367904612728</v>
      </c>
      <c r="BF22" s="16">
        <v>0.24099897094801864</v>
      </c>
      <c r="BG22" s="17">
        <v>0.30957289932642101</v>
      </c>
      <c r="BH22" s="17">
        <v>4.7680441307782699E-2</v>
      </c>
      <c r="BI22" s="17">
        <v>1.3085633298924233</v>
      </c>
      <c r="BJ22" s="18">
        <v>0.47754606944158301</v>
      </c>
      <c r="BK22" s="18">
        <v>1.6820097129520772</v>
      </c>
      <c r="BL22" s="18">
        <v>0.94820087586838342</v>
      </c>
      <c r="BM22" s="19">
        <v>4.065148527833129E-4</v>
      </c>
      <c r="BN22" s="19">
        <v>8.4332564182332248E-4</v>
      </c>
      <c r="BO22" s="19">
        <v>1.9996944435166641E-3</v>
      </c>
      <c r="BP22" s="20">
        <v>2.4786854734378809E-3</v>
      </c>
      <c r="BQ22" s="20">
        <v>2.7102698137511094E-3</v>
      </c>
      <c r="BR22" s="20">
        <v>3.415102278447768E-3</v>
      </c>
      <c r="BV22" s="1">
        <v>14</v>
      </c>
      <c r="BW22" s="15">
        <v>2.0837196630287897E-2</v>
      </c>
      <c r="BX22" s="15">
        <v>0.4219882643515076</v>
      </c>
      <c r="BY22" s="15">
        <v>0.73398633688296333</v>
      </c>
      <c r="BZ22" s="16">
        <v>0.51006967836774708</v>
      </c>
      <c r="CA22" s="16">
        <v>1.2372144239681206</v>
      </c>
      <c r="CB22" s="16">
        <v>0.98413106161203823</v>
      </c>
      <c r="CC22" s="17">
        <v>0.90087835393622018</v>
      </c>
      <c r="CD22" s="17">
        <v>0.87723665990962052</v>
      </c>
      <c r="CE22" s="17">
        <v>0.24369514021546712</v>
      </c>
      <c r="CF22" s="18">
        <v>0.25724934111456238</v>
      </c>
      <c r="CG22" s="18">
        <v>0.42250445304951856</v>
      </c>
      <c r="CH22" s="18">
        <v>0.25605353122456787</v>
      </c>
      <c r="CI22" s="19">
        <v>1.9145394339770139E-4</v>
      </c>
      <c r="CJ22" s="19">
        <v>4.3543599514972442E-7</v>
      </c>
      <c r="CK22" s="19">
        <v>9.674395461506391E-4</v>
      </c>
      <c r="CL22" s="20">
        <v>1.4258145621705021E-3</v>
      </c>
      <c r="CM22" s="20">
        <v>5.3368295940607879E-3</v>
      </c>
      <c r="CN22" s="20">
        <v>9.5843635453318754E-4</v>
      </c>
      <c r="CS22" s="1">
        <v>14</v>
      </c>
      <c r="CT22" s="15">
        <v>3.6918965302896831E-2</v>
      </c>
      <c r="CU22" s="15">
        <v>0.61889371560351725</v>
      </c>
      <c r="CV22" s="15">
        <v>1.0487804218078547</v>
      </c>
      <c r="CW22" s="16">
        <v>0.69897410134409621</v>
      </c>
      <c r="CX22" s="16">
        <v>1.1134173314735545</v>
      </c>
      <c r="CY22" s="16">
        <v>0.11658222612922597</v>
      </c>
      <c r="CZ22" s="17">
        <v>0.8914397660721336</v>
      </c>
      <c r="DA22" s="17">
        <v>8.3976736162918286E-2</v>
      </c>
      <c r="DB22" s="17">
        <v>1.3187994937438055</v>
      </c>
      <c r="DC22" s="18">
        <v>0.4733200679858926</v>
      </c>
      <c r="DD22" s="18">
        <v>0.92932644270889619</v>
      </c>
      <c r="DE22" s="18">
        <v>0.52940605479365654</v>
      </c>
      <c r="DF22" s="19">
        <v>3.4026723694957628E-4</v>
      </c>
      <c r="DG22" s="19">
        <v>2.3427445520962653E-4</v>
      </c>
      <c r="DH22" s="19">
        <v>1.2280834861493339E-3</v>
      </c>
      <c r="DI22" s="20">
        <v>1.6372481215128909E-3</v>
      </c>
      <c r="DJ22" s="20">
        <v>1.520572489918437E-3</v>
      </c>
      <c r="DK22" s="20">
        <v>3.4677778888115851E-3</v>
      </c>
    </row>
    <row r="23" spans="6:115" ht="15.75" x14ac:dyDescent="0.25">
      <c r="F23" s="1">
        <v>15</v>
      </c>
      <c r="G23" s="15">
        <v>5.7442810249534279E-2</v>
      </c>
      <c r="H23" s="15">
        <v>0.10105614523992698</v>
      </c>
      <c r="I23" s="15">
        <v>4.5500152349210107E-2</v>
      </c>
      <c r="J23" s="16">
        <v>0.13224862202702209</v>
      </c>
      <c r="K23" s="16">
        <v>0.1007785023204007</v>
      </c>
      <c r="L23" s="16">
        <v>0.67863964799252152</v>
      </c>
      <c r="M23" s="17">
        <v>0.98232155862274095</v>
      </c>
      <c r="N23" s="17">
        <v>0.58378992429003218</v>
      </c>
      <c r="O23" s="17">
        <v>0.84999472994680081</v>
      </c>
      <c r="P23" s="18">
        <v>0.47869008541275798</v>
      </c>
      <c r="Q23" s="18">
        <v>0.84213454366602081</v>
      </c>
      <c r="R23" s="18">
        <v>0.35000117191701346</v>
      </c>
      <c r="S23" s="19">
        <v>5.0520652537011657E-4</v>
      </c>
      <c r="T23" s="19">
        <v>8.9019367352294321E-4</v>
      </c>
      <c r="U23" s="19">
        <v>3.95671294396438E-4</v>
      </c>
      <c r="V23" s="20">
        <v>2.1531058868196062E-4</v>
      </c>
      <c r="W23" s="20">
        <v>6.8863831389198715E-4</v>
      </c>
      <c r="X23" s="20">
        <v>2.7886955457321339E-3</v>
      </c>
      <c r="AC23" s="1">
        <v>15</v>
      </c>
      <c r="AD23" s="15">
        <v>3.5811390589311397E-2</v>
      </c>
      <c r="AE23" s="15">
        <v>0.64012976487679185</v>
      </c>
      <c r="AF23" s="15">
        <v>1.2992767915871692</v>
      </c>
      <c r="AG23" s="16">
        <v>8.3709622418895346E-2</v>
      </c>
      <c r="AH23" s="16">
        <v>0.30905570846050684</v>
      </c>
      <c r="AI23" s="16">
        <v>0.78994332516829968</v>
      </c>
      <c r="AJ23" s="17">
        <v>1.0887287713218678</v>
      </c>
      <c r="AK23" s="17">
        <v>0.75407197131629566</v>
      </c>
      <c r="AL23" s="17">
        <v>0.86532386990672894</v>
      </c>
      <c r="AM23" s="18">
        <v>0.30871888439072398</v>
      </c>
      <c r="AN23" s="18">
        <v>0.32871641972773974</v>
      </c>
      <c r="AO23" s="18">
        <v>0.19689465276551821</v>
      </c>
      <c r="AP23" s="19">
        <v>3.1668610250690232E-4</v>
      </c>
      <c r="AQ23" s="19">
        <v>1.1311020953246318E-3</v>
      </c>
      <c r="AR23" s="19">
        <v>1.9706267739817429E-3</v>
      </c>
      <c r="AS23" s="20">
        <v>3.0874156492766142E-4</v>
      </c>
      <c r="AT23" s="20">
        <v>2.9913336858279349E-3</v>
      </c>
      <c r="AU23" s="20">
        <v>1.9334158270953863E-3</v>
      </c>
      <c r="AZ23" s="1">
        <v>15</v>
      </c>
      <c r="BA23" s="15">
        <v>7.0637892778471004E-2</v>
      </c>
      <c r="BB23" s="15">
        <v>0.75749685045823456</v>
      </c>
      <c r="BC23" s="15">
        <v>1.1337326444544948</v>
      </c>
      <c r="BD23" s="16">
        <v>0.93426702158435926</v>
      </c>
      <c r="BE23" s="16">
        <v>1.6334679365573102</v>
      </c>
      <c r="BF23" s="16">
        <v>0.22314910548641947</v>
      </c>
      <c r="BG23" s="17">
        <v>0.50459424407922493</v>
      </c>
      <c r="BH23" s="17">
        <v>6.952585944393519E-2</v>
      </c>
      <c r="BI23" s="17">
        <v>1.2957301144937028</v>
      </c>
      <c r="BJ23" s="18">
        <v>0.75146694445180551</v>
      </c>
      <c r="BK23" s="18">
        <v>1.5196714742207906</v>
      </c>
      <c r="BL23" s="18">
        <v>0.93937187914178932</v>
      </c>
      <c r="BM23" s="19">
        <v>6.3952755978080578E-4</v>
      </c>
      <c r="BN23" s="19">
        <v>7.0655276883224705E-4</v>
      </c>
      <c r="BO23" s="19">
        <v>1.9920336330023773E-3</v>
      </c>
      <c r="BP23" s="20">
        <v>2.1352527663843772E-3</v>
      </c>
      <c r="BQ23" s="20">
        <v>2.8368410475794192E-3</v>
      </c>
      <c r="BR23" s="20">
        <v>3.4864236530803843E-3</v>
      </c>
      <c r="BV23" s="1">
        <v>15</v>
      </c>
      <c r="BW23" s="15">
        <v>2.2969637152462322E-2</v>
      </c>
      <c r="BX23" s="15">
        <v>0.42229521352662752</v>
      </c>
      <c r="BY23" s="15">
        <v>0.73310437512157767</v>
      </c>
      <c r="BZ23" s="16">
        <v>0.54964288230228719</v>
      </c>
      <c r="CA23" s="16">
        <v>1.2399355786327317</v>
      </c>
      <c r="CB23" s="16">
        <v>0.91040825466766251</v>
      </c>
      <c r="CC23" s="17">
        <v>0.84956135374005282</v>
      </c>
      <c r="CD23" s="17">
        <v>0.86131867480505697</v>
      </c>
      <c r="CE23" s="17">
        <v>0.17025939597666082</v>
      </c>
      <c r="CF23" s="18">
        <v>0.28357576731440137</v>
      </c>
      <c r="CG23" s="18">
        <v>0.42615860989622822</v>
      </c>
      <c r="CH23" s="18">
        <v>0.26514592051734487</v>
      </c>
      <c r="CI23" s="19">
        <v>2.1104248973702333E-4</v>
      </c>
      <c r="CJ23" s="19">
        <v>3.2590156173739615E-6</v>
      </c>
      <c r="CK23" s="19">
        <v>9.754538818548264E-4</v>
      </c>
      <c r="CL23" s="20">
        <v>1.5377802257484641E-3</v>
      </c>
      <c r="CM23" s="20">
        <v>5.3465631738339736E-3</v>
      </c>
      <c r="CN23" s="20">
        <v>6.7913710452693898E-4</v>
      </c>
      <c r="CS23" s="1">
        <v>15</v>
      </c>
      <c r="CT23" s="15">
        <v>4.0125196167036047E-2</v>
      </c>
      <c r="CU23" s="15">
        <v>0.61833371310713403</v>
      </c>
      <c r="CV23" s="15">
        <v>1.0538995804103162</v>
      </c>
      <c r="CW23" s="16">
        <v>0.70432434398707056</v>
      </c>
      <c r="CX23" s="16">
        <v>1.1102316890587283</v>
      </c>
      <c r="CY23" s="16">
        <v>8.4181164858198279E-2</v>
      </c>
      <c r="CZ23" s="17">
        <v>0.91404873943543086</v>
      </c>
      <c r="DA23" s="17">
        <v>7.8293627353770434E-2</v>
      </c>
      <c r="DB23" s="17">
        <v>1.3304532500844122</v>
      </c>
      <c r="DC23" s="18">
        <v>0.51442559188505954</v>
      </c>
      <c r="DD23" s="18">
        <v>0.92185974275724514</v>
      </c>
      <c r="DE23" s="18">
        <v>0.4629234755408918</v>
      </c>
      <c r="DF23" s="19">
        <v>3.6980592330793094E-4</v>
      </c>
      <c r="DG23" s="19">
        <v>2.290608828999785E-4</v>
      </c>
      <c r="DH23" s="19">
        <v>1.1803939196487478E-3</v>
      </c>
      <c r="DI23" s="20">
        <v>1.6424995049544311E-3</v>
      </c>
      <c r="DJ23" s="20">
        <v>1.5124871764818915E-3</v>
      </c>
      <c r="DK23" s="20">
        <v>3.6070892532963361E-3</v>
      </c>
    </row>
    <row r="24" spans="6:115" ht="15.75" x14ac:dyDescent="0.25">
      <c r="F24" s="1">
        <v>16</v>
      </c>
      <c r="G24" s="15">
        <v>4.8963306779041885E-2</v>
      </c>
      <c r="H24" s="15">
        <v>0.10486983705322846</v>
      </c>
      <c r="I24" s="15">
        <v>5.0800779963907187E-2</v>
      </c>
      <c r="J24" s="16">
        <v>0.12860492440868179</v>
      </c>
      <c r="K24" s="16">
        <v>6.9205427004398717E-2</v>
      </c>
      <c r="L24" s="16">
        <v>0.7429284480958579</v>
      </c>
      <c r="M24" s="17">
        <v>0.88634059441540214</v>
      </c>
      <c r="N24" s="17">
        <v>0.63785482860372389</v>
      </c>
      <c r="O24" s="17">
        <v>0.84706702584394189</v>
      </c>
      <c r="P24" s="18">
        <v>0.40802755649198802</v>
      </c>
      <c r="Q24" s="18">
        <v>0.8739153087768663</v>
      </c>
      <c r="R24" s="18">
        <v>0.39077523049158103</v>
      </c>
      <c r="S24" s="19">
        <v>4.3066623122756109E-4</v>
      </c>
      <c r="T24" s="19">
        <v>9.2382337813967652E-4</v>
      </c>
      <c r="U24" s="19">
        <v>4.4174237711303022E-4</v>
      </c>
      <c r="V24" s="20">
        <v>2.2924827654480229E-4</v>
      </c>
      <c r="W24" s="20">
        <v>5.9398214669914562E-4</v>
      </c>
      <c r="X24" s="20">
        <v>3.0575018254863644E-3</v>
      </c>
      <c r="AC24" s="1">
        <v>16</v>
      </c>
      <c r="AD24" s="15">
        <v>2.0316353647996041E-2</v>
      </c>
      <c r="AE24" s="15">
        <v>0.6401635320084138</v>
      </c>
      <c r="AF24" s="15">
        <v>1.3149403365161341</v>
      </c>
      <c r="AG24" s="16">
        <v>3.1320988860994298E-2</v>
      </c>
      <c r="AH24" s="16">
        <v>0.31373426387493403</v>
      </c>
      <c r="AI24" s="16">
        <v>0.66746271400254109</v>
      </c>
      <c r="AJ24" s="17">
        <v>1.0376902977584403</v>
      </c>
      <c r="AK24" s="17">
        <v>0.7051633779814811</v>
      </c>
      <c r="AL24" s="17">
        <v>0.72887338219163633</v>
      </c>
      <c r="AM24" s="18">
        <v>0.17514097972432049</v>
      </c>
      <c r="AN24" s="18">
        <v>0.32842532376549632</v>
      </c>
      <c r="AO24" s="18">
        <v>7.6405845619691173E-2</v>
      </c>
      <c r="AP24" s="19">
        <v>1.7963306113655264E-4</v>
      </c>
      <c r="AQ24" s="19">
        <v>1.1308020550735431E-3</v>
      </c>
      <c r="AR24" s="19">
        <v>1.8328509330027831E-3</v>
      </c>
      <c r="AS24" s="20">
        <v>2.8421068462902707E-5</v>
      </c>
      <c r="AT24" s="20">
        <v>3.0061691473725061E-3</v>
      </c>
      <c r="AU24" s="20">
        <v>2.4569326763329569E-3</v>
      </c>
      <c r="AZ24" s="1">
        <v>16</v>
      </c>
      <c r="BA24" s="15">
        <v>5.4162453403518745E-2</v>
      </c>
      <c r="BB24" s="15">
        <v>0.76231681438613708</v>
      </c>
      <c r="BC24" s="15">
        <v>1.1215311945821209</v>
      </c>
      <c r="BD24" s="16">
        <v>1.1265647042927429</v>
      </c>
      <c r="BE24" s="16">
        <v>1.5565155357665288</v>
      </c>
      <c r="BF24" s="16">
        <v>0.19012298858184326</v>
      </c>
      <c r="BG24" s="17">
        <v>0.40563458605160391</v>
      </c>
      <c r="BH24" s="17">
        <v>8.3390934583698756E-3</v>
      </c>
      <c r="BI24" s="17">
        <v>1.3058466440079364</v>
      </c>
      <c r="BJ24" s="18">
        <v>0.57619631280324557</v>
      </c>
      <c r="BK24" s="18">
        <v>1.5720623864806191</v>
      </c>
      <c r="BL24" s="18">
        <v>1.0678081935879458</v>
      </c>
      <c r="BM24" s="19">
        <v>4.9044619014648738E-4</v>
      </c>
      <c r="BN24" s="19">
        <v>7.5068855137772072E-4</v>
      </c>
      <c r="BO24" s="19">
        <v>2.1034634171513966E-3</v>
      </c>
      <c r="BP24" s="20">
        <v>2.6521632127163297E-3</v>
      </c>
      <c r="BQ24" s="20">
        <v>2.5718694331277048E-3</v>
      </c>
      <c r="BR24" s="20">
        <v>3.5654133831450885E-3</v>
      </c>
      <c r="BV24" s="1">
        <v>16</v>
      </c>
      <c r="BW24" s="15">
        <v>2.1662133940028059E-2</v>
      </c>
      <c r="BX24" s="15">
        <v>0.422693112487386</v>
      </c>
      <c r="BY24" s="15">
        <v>0.73238566219834977</v>
      </c>
      <c r="BZ24" s="16">
        <v>0.50807752000538864</v>
      </c>
      <c r="CA24" s="16">
        <v>1.2290923336664537</v>
      </c>
      <c r="CB24" s="16">
        <v>0.95612681123296417</v>
      </c>
      <c r="CC24" s="17">
        <v>0.85453983843399339</v>
      </c>
      <c r="CD24" s="17">
        <v>0.87062346473311247</v>
      </c>
      <c r="CE24" s="17">
        <v>0.18772825378018254</v>
      </c>
      <c r="CF24" s="18">
        <v>0.26743375234609434</v>
      </c>
      <c r="CG24" s="18">
        <v>0.43089550228612256</v>
      </c>
      <c r="CH24" s="18">
        <v>0.27255533209683092</v>
      </c>
      <c r="CI24" s="19">
        <v>1.9903189635284146E-4</v>
      </c>
      <c r="CJ24" s="19">
        <v>6.9192546438001656E-6</v>
      </c>
      <c r="CK24" s="19">
        <v>9.8198467946375434E-4</v>
      </c>
      <c r="CL24" s="20">
        <v>1.4226682982472205E-3</v>
      </c>
      <c r="CM24" s="20">
        <v>5.3130649433527077E-3</v>
      </c>
      <c r="CN24" s="20">
        <v>8.5716431745852528E-4</v>
      </c>
      <c r="CS24" s="1">
        <v>16</v>
      </c>
      <c r="CT24" s="15">
        <v>3.7599727537596626E-2</v>
      </c>
      <c r="CU24" s="15">
        <v>0.61948282965603929</v>
      </c>
      <c r="CV24" s="15">
        <v>1.0530278597047711</v>
      </c>
      <c r="CW24" s="16">
        <v>0.70558169822483441</v>
      </c>
      <c r="CX24" s="16">
        <v>1.1169097615103196</v>
      </c>
      <c r="CY24" s="16">
        <v>9.5070373849676634E-2</v>
      </c>
      <c r="CZ24" s="17">
        <v>0.90140620651397596</v>
      </c>
      <c r="DA24" s="17">
        <v>8.106199389195072E-2</v>
      </c>
      <c r="DB24" s="17">
        <v>1.3189186336261296</v>
      </c>
      <c r="DC24" s="18">
        <v>0.48204778894363604</v>
      </c>
      <c r="DD24" s="18">
        <v>0.93718129674251094</v>
      </c>
      <c r="DE24" s="18">
        <v>0.47424452366472614</v>
      </c>
      <c r="DF24" s="19">
        <v>3.4653919010541046E-4</v>
      </c>
      <c r="DG24" s="19">
        <v>2.3975911687645901E-4</v>
      </c>
      <c r="DH24" s="19">
        <v>1.1885151306370023E-3</v>
      </c>
      <c r="DI24" s="20">
        <v>1.6518992328927729E-3</v>
      </c>
      <c r="DJ24" s="20">
        <v>1.5295125547516442E-3</v>
      </c>
      <c r="DK24" s="20">
        <v>3.5634498236372103E-3</v>
      </c>
    </row>
    <row r="25" spans="6:115" ht="15.75" x14ac:dyDescent="0.25">
      <c r="F25" s="1">
        <v>17</v>
      </c>
      <c r="G25" s="15">
        <v>5.4764007968443676E-2</v>
      </c>
      <c r="H25" s="15">
        <v>0.1012812970577377</v>
      </c>
      <c r="I25" s="15">
        <v>4.6051147882723395E-2</v>
      </c>
      <c r="J25" s="16">
        <v>0.13807085161577404</v>
      </c>
      <c r="K25" s="16">
        <v>9.2656617085929815E-2</v>
      </c>
      <c r="L25" s="16">
        <v>0.69491520541594354</v>
      </c>
      <c r="M25" s="17">
        <v>0.99675250254841219</v>
      </c>
      <c r="N25" s="17">
        <v>0.59247022476676237</v>
      </c>
      <c r="O25" s="17">
        <v>0.87775623677285641</v>
      </c>
      <c r="P25" s="18">
        <v>0.45636673307029457</v>
      </c>
      <c r="Q25" s="18">
        <v>0.84401080881459156</v>
      </c>
      <c r="R25" s="18">
        <v>0.35423959909794833</v>
      </c>
      <c r="S25" s="19">
        <v>4.8165949407852349E-4</v>
      </c>
      <c r="T25" s="19">
        <v>8.9217902459626252E-4</v>
      </c>
      <c r="U25" s="19">
        <v>4.0046056989040402E-4</v>
      </c>
      <c r="V25" s="20">
        <v>2.3978436772920109E-4</v>
      </c>
      <c r="W25" s="20">
        <v>6.6170752291749846E-4</v>
      </c>
      <c r="X25" s="20">
        <v>2.8537000715196381E-3</v>
      </c>
      <c r="AC25" s="1">
        <v>17</v>
      </c>
      <c r="AD25" s="15">
        <v>2.0366629615661352E-2</v>
      </c>
      <c r="AE25" s="15">
        <v>0.64016360066646827</v>
      </c>
      <c r="AF25" s="15">
        <v>1.3149174689592606</v>
      </c>
      <c r="AG25" s="16">
        <v>1.3973386284663014E-2</v>
      </c>
      <c r="AH25" s="16">
        <v>0.30980490427808827</v>
      </c>
      <c r="AI25" s="16">
        <v>0.69939349925907257</v>
      </c>
      <c r="AJ25" s="17">
        <v>1.0600167175266408</v>
      </c>
      <c r="AK25" s="17">
        <v>0.71110611697832682</v>
      </c>
      <c r="AL25" s="17">
        <v>0.76722097922821675</v>
      </c>
      <c r="AM25" s="18">
        <v>0.17557439323859</v>
      </c>
      <c r="AN25" s="18">
        <v>0.32842473188560117</v>
      </c>
      <c r="AO25" s="18">
        <v>7.6581749903331789E-2</v>
      </c>
      <c r="AP25" s="19">
        <v>1.8007768155714476E-4</v>
      </c>
      <c r="AQ25" s="19">
        <v>1.1308014450073232E-3</v>
      </c>
      <c r="AR25" s="19">
        <v>1.8330521068899983E-3</v>
      </c>
      <c r="AS25" s="20">
        <v>1.6511583445177891E-5</v>
      </c>
      <c r="AT25" s="20">
        <v>2.9937997073159472E-3</v>
      </c>
      <c r="AU25" s="20">
        <v>2.3359580625426091E-3</v>
      </c>
      <c r="AZ25" s="1">
        <v>17</v>
      </c>
      <c r="BA25" s="15">
        <v>5.5216093207338862E-2</v>
      </c>
      <c r="BB25" s="15">
        <v>0.76095503876143999</v>
      </c>
      <c r="BC25" s="15">
        <v>1.1219673422762411</v>
      </c>
      <c r="BD25" s="16">
        <v>1.0301355423944054</v>
      </c>
      <c r="BE25" s="16">
        <v>1.6176789380328891</v>
      </c>
      <c r="BF25" s="16">
        <v>0.18829199405958427</v>
      </c>
      <c r="BG25" s="17">
        <v>0.52998869856104802</v>
      </c>
      <c r="BH25" s="17">
        <v>5.1819080997662761E-2</v>
      </c>
      <c r="BI25" s="17">
        <v>1.3627792942668646</v>
      </c>
      <c r="BJ25" s="18">
        <v>0.5874052468864821</v>
      </c>
      <c r="BK25" s="18">
        <v>1.5572604775165406</v>
      </c>
      <c r="BL25" s="18">
        <v>1.06321716522863</v>
      </c>
      <c r="BM25" s="19">
        <v>4.9998173407794777E-4</v>
      </c>
      <c r="BN25" s="19">
        <v>7.3821851463884425E-4</v>
      </c>
      <c r="BO25" s="19">
        <v>2.0994807707346301E-3</v>
      </c>
      <c r="BP25" s="20">
        <v>2.4109262435921819E-3</v>
      </c>
      <c r="BQ25" s="20">
        <v>2.7745356087532924E-3</v>
      </c>
      <c r="BR25" s="20">
        <v>3.5740743898674543E-3</v>
      </c>
      <c r="BV25" s="1">
        <v>17</v>
      </c>
      <c r="BW25" s="15">
        <v>2.1256268738633018E-2</v>
      </c>
      <c r="BX25" s="15">
        <v>0.42217520869267527</v>
      </c>
      <c r="BY25" s="15">
        <v>0.73370918424488452</v>
      </c>
      <c r="BZ25" s="16">
        <v>0.54614112616252219</v>
      </c>
      <c r="CA25" s="16">
        <v>1.2416470844937493</v>
      </c>
      <c r="CB25" s="16">
        <v>0.94642350729539382</v>
      </c>
      <c r="CC25" s="17">
        <v>0.84478148428649791</v>
      </c>
      <c r="CD25" s="17">
        <v>0.89512144822016426</v>
      </c>
      <c r="CE25" s="17">
        <v>0.22307386238798396</v>
      </c>
      <c r="CF25" s="18">
        <v>0.26242307084740735</v>
      </c>
      <c r="CG25" s="18">
        <v>0.42472998092045239</v>
      </c>
      <c r="CH25" s="18">
        <v>0.25891077491607412</v>
      </c>
      <c r="CI25" s="19">
        <v>1.9530359545094633E-4</v>
      </c>
      <c r="CJ25" s="19">
        <v>2.1551069989689253E-6</v>
      </c>
      <c r="CK25" s="19">
        <v>9.6995803154698024E-4</v>
      </c>
      <c r="CL25" s="20">
        <v>1.5238017288534689E-3</v>
      </c>
      <c r="CM25" s="20">
        <v>5.3516638228611191E-3</v>
      </c>
      <c r="CN25" s="20">
        <v>8.1489423291614127E-4</v>
      </c>
      <c r="CS25" s="1">
        <v>17</v>
      </c>
      <c r="CT25" s="15">
        <v>3.8464310525470745E-2</v>
      </c>
      <c r="CU25" s="15">
        <v>0.61856662005508123</v>
      </c>
      <c r="CV25" s="15">
        <v>1.0530416426732652</v>
      </c>
      <c r="CW25" s="16">
        <v>0.70528660155599954</v>
      </c>
      <c r="CX25" s="16">
        <v>1.1204462942547393</v>
      </c>
      <c r="CY25" s="16">
        <v>8.4933931118983952E-2</v>
      </c>
      <c r="CZ25" s="17">
        <v>0.91329134445417259</v>
      </c>
      <c r="DA25" s="17">
        <v>8.4573666381806439E-2</v>
      </c>
      <c r="DB25" s="17">
        <v>1.3388084860317113</v>
      </c>
      <c r="DC25" s="18">
        <v>0.49313218622396598</v>
      </c>
      <c r="DD25" s="18">
        <v>0.92496516872970014</v>
      </c>
      <c r="DE25" s="18">
        <v>0.47406552407394731</v>
      </c>
      <c r="DF25" s="19">
        <v>3.5450458530039697E-4</v>
      </c>
      <c r="DG25" s="19">
        <v>2.3122921826601583E-4</v>
      </c>
      <c r="DH25" s="19">
        <v>1.1883867254908198E-3</v>
      </c>
      <c r="DI25" s="20">
        <v>1.6490160642396168E-3</v>
      </c>
      <c r="DJ25" s="20">
        <v>1.543195728443969E-3</v>
      </c>
      <c r="DK25" s="20">
        <v>3.6010860324037219E-3</v>
      </c>
    </row>
    <row r="26" spans="6:115" ht="15.75" x14ac:dyDescent="0.25">
      <c r="F26" s="1">
        <v>18</v>
      </c>
      <c r="G26" s="15">
        <v>4.1533414482927279E-2</v>
      </c>
      <c r="H26" s="15">
        <v>0.10344017995741807</v>
      </c>
      <c r="I26" s="15">
        <v>6.0333632838827728E-2</v>
      </c>
      <c r="J26" s="16">
        <v>0.1540074255724645</v>
      </c>
      <c r="K26" s="16">
        <v>6.0122365103853277E-2</v>
      </c>
      <c r="L26" s="16">
        <v>0.7733232480739104</v>
      </c>
      <c r="M26" s="17">
        <v>0.94281142272720775</v>
      </c>
      <c r="N26" s="17">
        <v>0.62118861205079545</v>
      </c>
      <c r="O26" s="17">
        <v>0.86441846628734353</v>
      </c>
      <c r="P26" s="18">
        <v>0.34611178735775522</v>
      </c>
      <c r="Q26" s="18">
        <v>0.86200149964509443</v>
      </c>
      <c r="R26" s="18">
        <v>0.46410486799100781</v>
      </c>
      <c r="S26" s="19">
        <v>3.6534230831453129E-4</v>
      </c>
      <c r="T26" s="19">
        <v>9.1121614724776201E-4</v>
      </c>
      <c r="U26" s="19">
        <v>5.2458610384398263E-4</v>
      </c>
      <c r="V26" s="20">
        <v>3.2377602111566262E-4</v>
      </c>
      <c r="W26" s="20">
        <v>5.5811432910302106E-4</v>
      </c>
      <c r="X26" s="20">
        <v>3.2115874892248986E-3</v>
      </c>
      <c r="AC26" s="1">
        <v>18</v>
      </c>
      <c r="AD26" s="15">
        <v>2.1035567153913599E-2</v>
      </c>
      <c r="AE26" s="15">
        <v>0.64130961083009386</v>
      </c>
      <c r="AF26" s="15">
        <v>1.3141614809474438</v>
      </c>
      <c r="AG26" s="16">
        <v>4.5038892882782129E-2</v>
      </c>
      <c r="AH26" s="16">
        <v>0.3136123851572713</v>
      </c>
      <c r="AI26" s="16">
        <v>0.65868954333549656</v>
      </c>
      <c r="AJ26" s="17">
        <v>1.0226059060376425</v>
      </c>
      <c r="AK26" s="17">
        <v>0.69869411563728989</v>
      </c>
      <c r="AL26" s="17">
        <v>0.70475025479341469</v>
      </c>
      <c r="AM26" s="18">
        <v>0.18134109615466598</v>
      </c>
      <c r="AN26" s="18">
        <v>0.31854533392335499</v>
      </c>
      <c r="AO26" s="18">
        <v>8.2397042301942752E-2</v>
      </c>
      <c r="AP26" s="19">
        <v>1.8599353843651301E-4</v>
      </c>
      <c r="AQ26" s="19">
        <v>1.1206183692166194E-3</v>
      </c>
      <c r="AR26" s="19">
        <v>1.8397027450637313E-3</v>
      </c>
      <c r="AS26" s="20">
        <v>6.199225082426095E-5</v>
      </c>
      <c r="AT26" s="20">
        <v>3.0094279939435475E-3</v>
      </c>
      <c r="AU26" s="20">
        <v>2.4871744416752333E-3</v>
      </c>
      <c r="AZ26" s="1">
        <v>18</v>
      </c>
      <c r="BA26" s="15">
        <v>7.7727604402080486E-2</v>
      </c>
      <c r="BB26" s="15">
        <v>0.75389342715570662</v>
      </c>
      <c r="BC26" s="15">
        <v>1.1372551469943903</v>
      </c>
      <c r="BD26" s="16">
        <v>1.0681254519657506</v>
      </c>
      <c r="BE26" s="16">
        <v>1.6243665018072742</v>
      </c>
      <c r="BF26" s="16">
        <v>0.19852176149164155</v>
      </c>
      <c r="BG26" s="17">
        <v>0.55889839194124935</v>
      </c>
      <c r="BH26" s="17">
        <v>0.10120453424611663</v>
      </c>
      <c r="BI26" s="17">
        <v>1.2892915077065508</v>
      </c>
      <c r="BJ26" s="18">
        <v>0.82688940853277215</v>
      </c>
      <c r="BK26" s="18">
        <v>1.4805038296281749</v>
      </c>
      <c r="BL26" s="18">
        <v>0.90229290503756976</v>
      </c>
      <c r="BM26" s="19">
        <v>7.0366515381559136E-4</v>
      </c>
      <c r="BN26" s="19">
        <v>6.7355949100522661E-4</v>
      </c>
      <c r="BO26" s="19">
        <v>1.9598592496206098E-3</v>
      </c>
      <c r="BP26" s="20">
        <v>2.4486727660214536E-3</v>
      </c>
      <c r="BQ26" s="20">
        <v>2.8189128943528763E-3</v>
      </c>
      <c r="BR26" s="20">
        <v>3.5939152478901004E-3</v>
      </c>
      <c r="BV26" s="1">
        <v>18</v>
      </c>
      <c r="BW26" s="15">
        <v>2.0855777414765311E-2</v>
      </c>
      <c r="BX26" s="15">
        <v>0.42361158011619704</v>
      </c>
      <c r="BY26" s="15">
        <v>0.73268329578597446</v>
      </c>
      <c r="BZ26" s="16">
        <v>0.52231263134098627</v>
      </c>
      <c r="CA26" s="16">
        <v>1.2356407594660639</v>
      </c>
      <c r="CB26" s="16">
        <v>0.9324225356274104</v>
      </c>
      <c r="CC26" s="17">
        <v>0.83064836024356081</v>
      </c>
      <c r="CD26" s="17">
        <v>0.86270751064191753</v>
      </c>
      <c r="CE26" s="17">
        <v>0.14825291627778167</v>
      </c>
      <c r="CF26" s="18">
        <v>0.25747873351560407</v>
      </c>
      <c r="CG26" s="18">
        <v>0.4418296407243712</v>
      </c>
      <c r="CH26" s="18">
        <v>0.26948694459550265</v>
      </c>
      <c r="CI26" s="19">
        <v>1.9162462963551175E-4</v>
      </c>
      <c r="CJ26" s="19">
        <v>1.5368272693661034E-5</v>
      </c>
      <c r="CK26" s="19">
        <v>9.7928015528692125E-4</v>
      </c>
      <c r="CL26" s="20">
        <v>1.4587421532800127E-3</v>
      </c>
      <c r="CM26" s="20">
        <v>5.3370757266120172E-3</v>
      </c>
      <c r="CN26" s="20">
        <v>7.6513921109144789E-4</v>
      </c>
      <c r="CS26" s="1">
        <v>18</v>
      </c>
      <c r="CT26" s="15">
        <v>3.8600828588210158E-2</v>
      </c>
      <c r="CU26" s="15">
        <v>0.61832910149706732</v>
      </c>
      <c r="CV26" s="15">
        <v>1.0517520162894334</v>
      </c>
      <c r="CW26" s="16">
        <v>0.7138894243883438</v>
      </c>
      <c r="CX26" s="16">
        <v>1.1128456597292162</v>
      </c>
      <c r="CY26" s="16">
        <v>9.7057564409111494E-2</v>
      </c>
      <c r="CZ26" s="17">
        <v>0.90714333815479997</v>
      </c>
      <c r="DA26" s="17">
        <v>8.4228200492323102E-2</v>
      </c>
      <c r="DB26" s="17">
        <v>1.3322807946857438</v>
      </c>
      <c r="DC26" s="18">
        <v>0.49488241779749437</v>
      </c>
      <c r="DD26" s="18">
        <v>0.92179825462305964</v>
      </c>
      <c r="DE26" s="18">
        <v>0.49081391866927493</v>
      </c>
      <c r="DF26" s="19">
        <v>3.5576231238299005E-4</v>
      </c>
      <c r="DG26" s="19">
        <v>2.2901794947360887E-4</v>
      </c>
      <c r="DH26" s="19">
        <v>1.2004010117629971E-3</v>
      </c>
      <c r="DI26" s="20">
        <v>1.6699583320689548E-3</v>
      </c>
      <c r="DJ26" s="20">
        <v>1.5205421373922778E-3</v>
      </c>
      <c r="DK26" s="20">
        <v>3.5513047324248204E-3</v>
      </c>
    </row>
    <row r="27" spans="6:115" ht="15.75" x14ac:dyDescent="0.25">
      <c r="F27" s="1">
        <v>19</v>
      </c>
      <c r="G27" s="15">
        <v>6.1535611832463477E-2</v>
      </c>
      <c r="H27" s="15">
        <v>0.10184865179922781</v>
      </c>
      <c r="I27" s="15">
        <v>3.8837663551571949E-2</v>
      </c>
      <c r="J27" s="16">
        <v>0.11588508468972743</v>
      </c>
      <c r="K27" s="16">
        <v>0.1086242437708707</v>
      </c>
      <c r="L27" s="16">
        <v>0.6443704942921934</v>
      </c>
      <c r="M27" s="17">
        <v>0.98369248564528444</v>
      </c>
      <c r="N27" s="17">
        <v>0.56494955715169026</v>
      </c>
      <c r="O27" s="17">
        <v>0.81918438022455398</v>
      </c>
      <c r="P27" s="18">
        <v>0.51279676527052909</v>
      </c>
      <c r="Q27" s="18">
        <v>0.84873876499363865</v>
      </c>
      <c r="R27" s="18">
        <v>0.29875125808904035</v>
      </c>
      <c r="S27" s="19">
        <v>5.4118036547667881E-4</v>
      </c>
      <c r="T27" s="19">
        <v>8.9718190350607241E-4</v>
      </c>
      <c r="U27" s="19">
        <v>3.3775649616707426E-4</v>
      </c>
      <c r="V27" s="20">
        <v>1.5642681290151117E-4</v>
      </c>
      <c r="W27" s="20">
        <v>7.1810428609120347E-4</v>
      </c>
      <c r="X27" s="20">
        <v>2.6307471950232086E-3</v>
      </c>
      <c r="AC27" s="1">
        <v>19</v>
      </c>
      <c r="AD27" s="15">
        <v>3.5110612736044829E-2</v>
      </c>
      <c r="AE27" s="15">
        <v>0.64337465374111436</v>
      </c>
      <c r="AF27" s="15">
        <v>1.3025394298037152</v>
      </c>
      <c r="AG27" s="16">
        <v>1.6959407551607718E-3</v>
      </c>
      <c r="AH27" s="16">
        <v>0.27651817595285355</v>
      </c>
      <c r="AI27" s="16">
        <v>0.77556080694624452</v>
      </c>
      <c r="AJ27" s="17">
        <v>1.0238424265155308</v>
      </c>
      <c r="AK27" s="17">
        <v>0.74634074204601497</v>
      </c>
      <c r="AL27" s="17">
        <v>0.78669855227332408</v>
      </c>
      <c r="AM27" s="18">
        <v>0.30267769600053829</v>
      </c>
      <c r="AN27" s="18">
        <v>0.30074323986284823</v>
      </c>
      <c r="AO27" s="18">
        <v>0.1717974357151639</v>
      </c>
      <c r="AP27" s="19">
        <v>3.1048683041556835E-4</v>
      </c>
      <c r="AQ27" s="19">
        <v>1.1022684725492393E-3</v>
      </c>
      <c r="AR27" s="19">
        <v>1.9419323598619531E-3</v>
      </c>
      <c r="AS27" s="20">
        <v>8.6312291406320796E-5</v>
      </c>
      <c r="AT27" s="20">
        <v>2.8992110438814667E-3</v>
      </c>
      <c r="AU27" s="20">
        <v>2.0003310056879724E-3</v>
      </c>
      <c r="AZ27" s="1">
        <v>19</v>
      </c>
      <c r="BA27" s="15">
        <v>7.9082867133502446E-2</v>
      </c>
      <c r="BB27" s="15">
        <v>0.75940431613070203</v>
      </c>
      <c r="BC27" s="15">
        <v>1.1479873786686681</v>
      </c>
      <c r="BD27" s="16">
        <v>0.89438036979846303</v>
      </c>
      <c r="BE27" s="16">
        <v>1.5281828166288636</v>
      </c>
      <c r="BF27" s="16">
        <v>6.2135270375581206E-3</v>
      </c>
      <c r="BG27" s="17">
        <v>0.54403838158890527</v>
      </c>
      <c r="BH27" s="17">
        <v>0.11458942121766351</v>
      </c>
      <c r="BI27" s="17">
        <v>1.2836161182889527</v>
      </c>
      <c r="BJ27" s="18">
        <v>0.84130709716487706</v>
      </c>
      <c r="BK27" s="18">
        <v>1.540404796747691</v>
      </c>
      <c r="BL27" s="18">
        <v>0.78932204530850225</v>
      </c>
      <c r="BM27" s="19">
        <v>7.159246025271182E-4</v>
      </c>
      <c r="BN27" s="19">
        <v>7.2401867120619467E-4</v>
      </c>
      <c r="BO27" s="19">
        <v>1.8618173813297336E-3</v>
      </c>
      <c r="BP27" s="20">
        <v>2.0155334081164433E-3</v>
      </c>
      <c r="BQ27" s="20">
        <v>2.4893942895505283E-3</v>
      </c>
      <c r="BR27" s="20">
        <v>4.4153932910533369E-3</v>
      </c>
      <c r="BV27" s="1">
        <v>19</v>
      </c>
      <c r="BW27" s="15">
        <v>2.088436362847898E-2</v>
      </c>
      <c r="BX27" s="15">
        <v>0.4229062818429567</v>
      </c>
      <c r="BY27" s="15">
        <v>0.73337849247538678</v>
      </c>
      <c r="BZ27" s="16">
        <v>0.51880491261217709</v>
      </c>
      <c r="CA27" s="16">
        <v>1.2353430561433629</v>
      </c>
      <c r="CB27" s="16">
        <v>0.96405865145761904</v>
      </c>
      <c r="CC27" s="17">
        <v>0.8439761949639949</v>
      </c>
      <c r="CD27" s="17">
        <v>0.86188315640208335</v>
      </c>
      <c r="CE27" s="17">
        <v>0.15208074033215743</v>
      </c>
      <c r="CF27" s="18">
        <v>0.25783164973439454</v>
      </c>
      <c r="CG27" s="18">
        <v>0.43343323270964867</v>
      </c>
      <c r="CH27" s="18">
        <v>0.26231996841603716</v>
      </c>
      <c r="CI27" s="19">
        <v>1.9188722731944274E-4</v>
      </c>
      <c r="CJ27" s="19">
        <v>8.8801936246607482E-6</v>
      </c>
      <c r="CK27" s="19">
        <v>9.7296300850890916E-4</v>
      </c>
      <c r="CL27" s="20">
        <v>1.4493986785893975E-3</v>
      </c>
      <c r="CM27" s="20">
        <v>5.3338193485705787E-3</v>
      </c>
      <c r="CN27" s="20">
        <v>8.8378185941273557E-4</v>
      </c>
      <c r="CS27" s="1">
        <v>19</v>
      </c>
      <c r="CT27" s="15">
        <v>3.9818816432393114E-2</v>
      </c>
      <c r="CU27" s="15">
        <v>0.61699858367731819</v>
      </c>
      <c r="CV27" s="15">
        <v>1.0501252386879814</v>
      </c>
      <c r="CW27" s="16">
        <v>0.7060757883859623</v>
      </c>
      <c r="CX27" s="16">
        <v>1.124727057461719</v>
      </c>
      <c r="CY27" s="16">
        <v>0.10479784768443186</v>
      </c>
      <c r="CZ27" s="17">
        <v>0.89672799790254765</v>
      </c>
      <c r="DA27" s="17">
        <v>8.3056350889210623E-2</v>
      </c>
      <c r="DB27" s="17">
        <v>1.3147012306784174</v>
      </c>
      <c r="DC27" s="18">
        <v>0.5104976465691784</v>
      </c>
      <c r="DD27" s="18">
        <v>0.90405801702613064</v>
      </c>
      <c r="DE27" s="18">
        <v>0.51194090050627872</v>
      </c>
      <c r="DF27" s="19">
        <v>3.6698335907658919E-4</v>
      </c>
      <c r="DG27" s="19">
        <v>2.1663118636339185E-4</v>
      </c>
      <c r="DH27" s="19">
        <v>1.2155557852709942E-3</v>
      </c>
      <c r="DI27" s="20">
        <v>1.6475952280298189E-3</v>
      </c>
      <c r="DJ27" s="20">
        <v>1.5611629975673669E-3</v>
      </c>
      <c r="DK27" s="20">
        <v>3.5165126869238783E-3</v>
      </c>
    </row>
    <row r="28" spans="6:115" ht="15.75" x14ac:dyDescent="0.25">
      <c r="F28" s="1">
        <v>20</v>
      </c>
      <c r="G28" s="15">
        <v>4.5279594301118775E-2</v>
      </c>
      <c r="H28" s="15">
        <v>0.10358321135053605</v>
      </c>
      <c r="I28" s="15">
        <v>5.7651401417114348E-2</v>
      </c>
      <c r="J28" s="16">
        <v>0.13016734329327628</v>
      </c>
      <c r="K28" s="16">
        <v>7.4285310578283401E-2</v>
      </c>
      <c r="L28" s="16">
        <v>0.71279598087132334</v>
      </c>
      <c r="M28" s="17">
        <v>0.89418763750451369</v>
      </c>
      <c r="N28" s="17">
        <v>0.61621946454297605</v>
      </c>
      <c r="O28" s="17">
        <v>0.80951559709913046</v>
      </c>
      <c r="P28" s="18">
        <v>0.3773299525094066</v>
      </c>
      <c r="Q28" s="18">
        <v>0.86319342792098508</v>
      </c>
      <c r="R28" s="18">
        <v>0.44347231859322539</v>
      </c>
      <c r="S28" s="19">
        <v>3.9828009024078792E-4</v>
      </c>
      <c r="T28" s="19">
        <v>9.124774333129082E-4</v>
      </c>
      <c r="U28" s="19">
        <v>5.0127819842249455E-4</v>
      </c>
      <c r="V28" s="20">
        <v>2.4435773743503031E-4</v>
      </c>
      <c r="W28" s="20">
        <v>6.0691310380989183E-4</v>
      </c>
      <c r="X28" s="20">
        <v>2.9672973999943508E-3</v>
      </c>
      <c r="AC28" s="1">
        <v>20</v>
      </c>
      <c r="AD28" s="15">
        <v>1.9799481871501851E-2</v>
      </c>
      <c r="AE28" s="15">
        <v>0.6411993011166367</v>
      </c>
      <c r="AF28" s="15">
        <v>1.3177869872289625</v>
      </c>
      <c r="AG28" s="16">
        <v>2.5880624800147054E-2</v>
      </c>
      <c r="AH28" s="16">
        <v>0.31454998969257519</v>
      </c>
      <c r="AI28" s="16">
        <v>0.68137625635061416</v>
      </c>
      <c r="AJ28" s="17">
        <v>1.0680596598231695</v>
      </c>
      <c r="AK28" s="17">
        <v>0.70627930373163406</v>
      </c>
      <c r="AL28" s="17">
        <v>0.77148799865201012</v>
      </c>
      <c r="AM28" s="18">
        <v>0.17068518854747317</v>
      </c>
      <c r="AN28" s="18">
        <v>0.31949627972904915</v>
      </c>
      <c r="AO28" s="18">
        <v>5.4508532443992397E-2</v>
      </c>
      <c r="AP28" s="19">
        <v>1.7506208112938459E-4</v>
      </c>
      <c r="AQ28" s="19">
        <v>1.1215985558826749E-3</v>
      </c>
      <c r="AR28" s="19">
        <v>1.8078072239260392E-3</v>
      </c>
      <c r="AS28" s="20">
        <v>1.5705379309505219E-5</v>
      </c>
      <c r="AT28" s="20">
        <v>3.0120289941308891E-3</v>
      </c>
      <c r="AU28" s="20">
        <v>2.4151070440688871E-3</v>
      </c>
      <c r="AZ28" s="1">
        <v>20</v>
      </c>
      <c r="BA28" s="15">
        <v>5.7563778590419973E-2</v>
      </c>
      <c r="BB28" s="15">
        <v>0.76482655183435688</v>
      </c>
      <c r="BC28" s="15">
        <v>1.1360539049264695</v>
      </c>
      <c r="BD28" s="16">
        <v>0.92928705003418943</v>
      </c>
      <c r="BE28" s="16">
        <v>1.6436988908856365</v>
      </c>
      <c r="BF28" s="16">
        <v>5.2340319797581192E-2</v>
      </c>
      <c r="BG28" s="17">
        <v>0.5788762716170669</v>
      </c>
      <c r="BH28" s="17">
        <v>5.6038264867226122E-2</v>
      </c>
      <c r="BI28" s="17">
        <v>1.4366952140078111</v>
      </c>
      <c r="BJ28" s="18">
        <v>0.61238062330229714</v>
      </c>
      <c r="BK28" s="18">
        <v>1.5993421413526141</v>
      </c>
      <c r="BL28" s="18">
        <v>0.91493755838404478</v>
      </c>
      <c r="BM28" s="19">
        <v>5.2122779561480925E-4</v>
      </c>
      <c r="BN28" s="19">
        <v>7.7367158808638859E-4</v>
      </c>
      <c r="BO28" s="19">
        <v>1.97083159949063E-3</v>
      </c>
      <c r="BP28" s="20">
        <v>2.1555561303679971E-3</v>
      </c>
      <c r="BQ28" s="20">
        <v>2.8464580799147932E-3</v>
      </c>
      <c r="BR28" s="20">
        <v>4.1464472264206584E-3</v>
      </c>
      <c r="BV28" s="1">
        <v>20</v>
      </c>
      <c r="BW28" s="15">
        <v>2.0752126652318598E-2</v>
      </c>
      <c r="BX28" s="15">
        <v>0.42304643727479713</v>
      </c>
      <c r="BY28" s="15">
        <v>0.731810596361118</v>
      </c>
      <c r="BZ28" s="16">
        <v>0.49481813263395097</v>
      </c>
      <c r="CA28" s="16">
        <v>1.2195511033763666</v>
      </c>
      <c r="CB28" s="16">
        <v>0.97579632297903318</v>
      </c>
      <c r="CC28" s="17">
        <v>0.86730048190846942</v>
      </c>
      <c r="CD28" s="17">
        <v>0.87920604913224243</v>
      </c>
      <c r="CE28" s="17">
        <v>0.21844096651914666</v>
      </c>
      <c r="CF28" s="18">
        <v>0.2561990944731552</v>
      </c>
      <c r="CG28" s="18">
        <v>0.43510174975519245</v>
      </c>
      <c r="CH28" s="18">
        <v>0.27848384588285213</v>
      </c>
      <c r="CI28" s="19">
        <v>1.9067247534121368E-4</v>
      </c>
      <c r="CJ28" s="19">
        <v>1.0169484123911943E-5</v>
      </c>
      <c r="CK28" s="19">
        <v>9.8721011722280316E-4</v>
      </c>
      <c r="CL28" s="20">
        <v>1.3846297289017429E-3</v>
      </c>
      <c r="CM28" s="20">
        <v>5.2835984480409381E-3</v>
      </c>
      <c r="CN28" s="20">
        <v>9.3479402746565743E-4</v>
      </c>
      <c r="CS28" s="1">
        <v>20</v>
      </c>
      <c r="CT28" s="15">
        <v>4.1740384101999296E-2</v>
      </c>
      <c r="CU28" s="15">
        <v>0.61734421286344432</v>
      </c>
      <c r="CV28" s="15">
        <v>1.0536918211233985</v>
      </c>
      <c r="CW28" s="16">
        <v>0.7031889113908012</v>
      </c>
      <c r="CX28" s="16">
        <v>1.1110722971985527</v>
      </c>
      <c r="CY28" s="16">
        <v>9.3218898944325529E-2</v>
      </c>
      <c r="CZ28" s="17">
        <v>0.92182402249240225</v>
      </c>
      <c r="DA28" s="17">
        <v>7.8572878494877582E-2</v>
      </c>
      <c r="DB28" s="17">
        <v>1.340994490989325</v>
      </c>
      <c r="DC28" s="18">
        <v>0.53513312951275771</v>
      </c>
      <c r="DD28" s="18">
        <v>0.90866640617462868</v>
      </c>
      <c r="DE28" s="18">
        <v>0.46562164809821011</v>
      </c>
      <c r="DF28" s="19">
        <v>3.846857721016006E-4</v>
      </c>
      <c r="DG28" s="19">
        <v>2.1984886925474623E-4</v>
      </c>
      <c r="DH28" s="19">
        <v>1.1823294803336992E-3</v>
      </c>
      <c r="DI28" s="20">
        <v>1.6356685792154879E-3</v>
      </c>
      <c r="DJ28" s="20">
        <v>1.5181016549982163E-3</v>
      </c>
      <c r="DK28" s="20">
        <v>3.5728008682440748E-3</v>
      </c>
    </row>
    <row r="29" spans="6:115" ht="15.75" x14ac:dyDescent="0.25">
      <c r="F29" s="1">
        <v>21</v>
      </c>
      <c r="G29" s="15">
        <v>6.198552261517034E-2</v>
      </c>
      <c r="H29" s="15">
        <v>0.10115685179801139</v>
      </c>
      <c r="I29" s="15">
        <v>4.307601232866682E-2</v>
      </c>
      <c r="J29" s="16">
        <v>8.7366999337752049E-2</v>
      </c>
      <c r="K29" s="16">
        <v>8.2575512866550974E-2</v>
      </c>
      <c r="L29" s="16">
        <v>0.68735579483956277</v>
      </c>
      <c r="M29" s="17">
        <v>0.92556637229166772</v>
      </c>
      <c r="N29" s="17">
        <v>0.61352679658310161</v>
      </c>
      <c r="O29" s="17">
        <v>0.85562089640866434</v>
      </c>
      <c r="P29" s="18">
        <v>0.51654602179304454</v>
      </c>
      <c r="Q29" s="18">
        <v>0.84297376498333532</v>
      </c>
      <c r="R29" s="18">
        <v>0.33135394098978277</v>
      </c>
      <c r="S29" s="19">
        <v>5.4513469442418749E-4</v>
      </c>
      <c r="T29" s="19">
        <v>8.9108168600293691E-4</v>
      </c>
      <c r="U29" s="19">
        <v>3.7459994454114298E-4</v>
      </c>
      <c r="V29" s="20">
        <v>7.3052628210890092E-5</v>
      </c>
      <c r="W29" s="20">
        <v>6.2689875462929034E-4</v>
      </c>
      <c r="X29" s="20">
        <v>2.8130760104403407E-3</v>
      </c>
      <c r="AC29" s="1">
        <v>21</v>
      </c>
      <c r="AD29" s="15">
        <v>1.8006245434277299E-2</v>
      </c>
      <c r="AE29" s="15">
        <v>0.64064604614053633</v>
      </c>
      <c r="AF29" s="15">
        <v>1.3189699356223017</v>
      </c>
      <c r="AG29" s="16">
        <v>1.6876977178650384E-2</v>
      </c>
      <c r="AH29" s="16">
        <v>0.31626123201439171</v>
      </c>
      <c r="AI29" s="16">
        <v>0.68958220817036653</v>
      </c>
      <c r="AJ29" s="17">
        <v>1.0833750769807202</v>
      </c>
      <c r="AK29" s="17">
        <v>0.7041728872439188</v>
      </c>
      <c r="AL29" s="17">
        <v>0.78580240424133518</v>
      </c>
      <c r="AM29" s="18">
        <v>0.15522625374389989</v>
      </c>
      <c r="AN29" s="18">
        <v>0.32426571917819064</v>
      </c>
      <c r="AO29" s="18">
        <v>4.5408929418362526E-2</v>
      </c>
      <c r="AP29" s="19">
        <v>1.5920387627998966E-4</v>
      </c>
      <c r="AQ29" s="19">
        <v>1.1265146191364872E-3</v>
      </c>
      <c r="AR29" s="19">
        <v>1.7973996860346508E-3</v>
      </c>
      <c r="AS29" s="20">
        <v>2.9164436812223471E-6</v>
      </c>
      <c r="AT29" s="20">
        <v>3.0156575753172983E-3</v>
      </c>
      <c r="AU29" s="20">
        <v>2.3885465726840582E-3</v>
      </c>
      <c r="AZ29" s="1">
        <v>21</v>
      </c>
      <c r="BA29" s="15">
        <v>5.2074300158733981E-2</v>
      </c>
      <c r="BB29" s="15">
        <v>0.7600109046307385</v>
      </c>
      <c r="BC29" s="15">
        <v>1.113332594864278</v>
      </c>
      <c r="BD29" s="16">
        <v>1.010748369780234</v>
      </c>
      <c r="BE29" s="16">
        <v>1.6988971987585617</v>
      </c>
      <c r="BF29" s="16">
        <v>0.29724332295536887</v>
      </c>
      <c r="BG29" s="17">
        <v>0.34307346362810037</v>
      </c>
      <c r="BH29" s="17">
        <v>3.9933102798984522E-2</v>
      </c>
      <c r="BI29" s="17">
        <v>1.325005266403704</v>
      </c>
      <c r="BJ29" s="18">
        <v>0.55398191658204321</v>
      </c>
      <c r="BK29" s="18">
        <v>1.5469981500089365</v>
      </c>
      <c r="BL29" s="18">
        <v>1.1541092432493347</v>
      </c>
      <c r="BM29" s="19">
        <v>4.7154760432310821E-4</v>
      </c>
      <c r="BN29" s="19">
        <v>7.2957310087173877E-4</v>
      </c>
      <c r="BO29" s="19">
        <v>2.1783217118469533E-3</v>
      </c>
      <c r="BP29" s="20">
        <v>2.3708059227645073E-3</v>
      </c>
      <c r="BQ29" s="20">
        <v>3.0409202373126165E-3</v>
      </c>
      <c r="BR29" s="20">
        <v>3.1251958637339423E-3</v>
      </c>
      <c r="BV29" s="1">
        <v>21</v>
      </c>
      <c r="BW29" s="15">
        <v>2.4369643954945921E-2</v>
      </c>
      <c r="BX29" s="15">
        <v>0.42270062207752673</v>
      </c>
      <c r="BY29" s="15">
        <v>0.73582704747619887</v>
      </c>
      <c r="BZ29" s="16">
        <v>0.52265313348501508</v>
      </c>
      <c r="CA29" s="16">
        <v>1.2329389249021798</v>
      </c>
      <c r="CB29" s="16">
        <v>0.93541435320364463</v>
      </c>
      <c r="CC29" s="17">
        <v>0.85224855970169699</v>
      </c>
      <c r="CD29" s="17">
        <v>0.85995995263357539</v>
      </c>
      <c r="CE29" s="17">
        <v>0.16695407206616592</v>
      </c>
      <c r="CF29" s="18">
        <v>0.30085980191284395</v>
      </c>
      <c r="CG29" s="18">
        <v>0.4309849021687937</v>
      </c>
      <c r="CH29" s="18">
        <v>0.23707713335634492</v>
      </c>
      <c r="CI29" s="19">
        <v>2.2390246371273292E-4</v>
      </c>
      <c r="CJ29" s="19">
        <v>6.9883350122257326E-6</v>
      </c>
      <c r="CK29" s="19">
        <v>9.5071265627610924E-4</v>
      </c>
      <c r="CL29" s="20">
        <v>1.469041278748362E-3</v>
      </c>
      <c r="CM29" s="20">
        <v>5.3254334293681982E-3</v>
      </c>
      <c r="CN29" s="20">
        <v>7.6458095899134548E-4</v>
      </c>
      <c r="CS29" s="1">
        <v>21</v>
      </c>
      <c r="CT29" s="15">
        <v>4.0578455751085277E-2</v>
      </c>
      <c r="CU29" s="15">
        <v>0.61656173880224496</v>
      </c>
      <c r="CV29" s="15">
        <v>1.0520997095880285</v>
      </c>
      <c r="CW29" s="16">
        <v>0.71867693319065418</v>
      </c>
      <c r="CX29" s="16">
        <v>1.1245651574110234</v>
      </c>
      <c r="CY29" s="16">
        <v>0.11163383039520687</v>
      </c>
      <c r="CZ29" s="17">
        <v>0.9462759213376486</v>
      </c>
      <c r="DA29" s="17">
        <v>8.9418650555297172E-2</v>
      </c>
      <c r="DB29" s="17">
        <v>1.3857064175022542</v>
      </c>
      <c r="DC29" s="18">
        <v>0.52023661219331141</v>
      </c>
      <c r="DD29" s="18">
        <v>0.89823341869209539</v>
      </c>
      <c r="DE29" s="18">
        <v>0.48629842128490652</v>
      </c>
      <c r="DF29" s="19">
        <v>3.7398160606449959E-4</v>
      </c>
      <c r="DG29" s="19">
        <v>2.1256435037197985E-4</v>
      </c>
      <c r="DH29" s="19">
        <v>1.1971618976203136E-3</v>
      </c>
      <c r="DI29" s="20">
        <v>1.6768764880439324E-3</v>
      </c>
      <c r="DJ29" s="20">
        <v>1.5620018972094529E-3</v>
      </c>
      <c r="DK29" s="20">
        <v>3.4985545301244869E-3</v>
      </c>
    </row>
    <row r="30" spans="6:115" ht="15.75" x14ac:dyDescent="0.25">
      <c r="F30" s="1">
        <v>22</v>
      </c>
      <c r="G30" s="15">
        <v>5.2240641337830317E-2</v>
      </c>
      <c r="H30" s="15">
        <v>0.10125109645206247</v>
      </c>
      <c r="I30" s="15">
        <v>4.6100135721051171E-2</v>
      </c>
      <c r="J30" s="16">
        <v>0.15536018659764123</v>
      </c>
      <c r="K30" s="16">
        <v>7.7365584897381615E-2</v>
      </c>
      <c r="L30" s="16">
        <v>0.71092399082725544</v>
      </c>
      <c r="M30" s="17">
        <v>0.98345049714303745</v>
      </c>
      <c r="N30" s="17">
        <v>0.59687815547453238</v>
      </c>
      <c r="O30" s="17">
        <v>0.86100969562140672</v>
      </c>
      <c r="P30" s="18">
        <v>0.43533867781529439</v>
      </c>
      <c r="Q30" s="18">
        <v>0.84375913710046468</v>
      </c>
      <c r="R30" s="18">
        <v>0.35461642862345782</v>
      </c>
      <c r="S30" s="19">
        <v>4.594776097227582E-4</v>
      </c>
      <c r="T30" s="19">
        <v>8.9191272018662715E-4</v>
      </c>
      <c r="U30" s="19">
        <v>4.0088637161173057E-4</v>
      </c>
      <c r="V30" s="20">
        <v>2.9681691963356904E-4</v>
      </c>
      <c r="W30" s="20">
        <v>6.0945079045726669E-4</v>
      </c>
      <c r="X30" s="20">
        <v>2.9157572585557512E-3</v>
      </c>
      <c r="AC30" s="1">
        <v>22</v>
      </c>
      <c r="AD30" s="15">
        <v>6.3071315535316911E-4</v>
      </c>
      <c r="AE30" s="15">
        <v>0.63614407809925388</v>
      </c>
      <c r="AF30" s="15">
        <v>1.3435918321429456</v>
      </c>
      <c r="AG30" s="16">
        <v>0.11200010626980406</v>
      </c>
      <c r="AH30" s="16">
        <v>0.32205182399096494</v>
      </c>
      <c r="AI30" s="16">
        <v>0.59395331520089878</v>
      </c>
      <c r="AJ30" s="17">
        <v>1.204370927154609</v>
      </c>
      <c r="AK30" s="17">
        <v>0.73198729923431116</v>
      </c>
      <c r="AL30" s="17">
        <v>0.99266763729135465</v>
      </c>
      <c r="AM30" s="18">
        <v>5.437182373517627E-3</v>
      </c>
      <c r="AN30" s="18">
        <v>0.36307578849961991</v>
      </c>
      <c r="AO30" s="18">
        <v>0.14399027458653413</v>
      </c>
      <c r="AP30" s="19">
        <v>5.5754691278275806E-6</v>
      </c>
      <c r="AQ30" s="19">
        <v>1.1665157662216206E-3</v>
      </c>
      <c r="AR30" s="19">
        <v>1.5807204557558574E-3</v>
      </c>
      <c r="AS30" s="20">
        <v>2.9081457651258802E-4</v>
      </c>
      <c r="AT30" s="20">
        <v>3.0195774750868543E-3</v>
      </c>
      <c r="AU30" s="20">
        <v>2.8443357259437807E-3</v>
      </c>
      <c r="AZ30" s="1">
        <v>22</v>
      </c>
      <c r="BA30" s="15">
        <v>6.6165922606404498E-2</v>
      </c>
      <c r="BB30" s="15">
        <v>0.76115506968264823</v>
      </c>
      <c r="BC30" s="15">
        <v>1.1332008778108704</v>
      </c>
      <c r="BD30" s="16">
        <v>1.0156796218418511</v>
      </c>
      <c r="BE30" s="16">
        <v>1.5379305768712477</v>
      </c>
      <c r="BF30" s="16">
        <v>0.12460540042672305</v>
      </c>
      <c r="BG30" s="17">
        <v>0.47466765500355285</v>
      </c>
      <c r="BH30" s="17">
        <v>9.6202791127404555E-2</v>
      </c>
      <c r="BI30" s="17">
        <v>1.2189829819801139</v>
      </c>
      <c r="BJ30" s="18">
        <v>0.70389279368511137</v>
      </c>
      <c r="BK30" s="18">
        <v>1.559434726660109</v>
      </c>
      <c r="BL30" s="18">
        <v>0.94496942275884466</v>
      </c>
      <c r="BM30" s="19">
        <v>5.990668806852284E-4</v>
      </c>
      <c r="BN30" s="19">
        <v>7.4005021414236261E-4</v>
      </c>
      <c r="BO30" s="19">
        <v>1.996890566975162E-3</v>
      </c>
      <c r="BP30" s="20">
        <v>2.3478098045407458E-3</v>
      </c>
      <c r="BQ30" s="20">
        <v>2.5153604015432096E-3</v>
      </c>
      <c r="BR30" s="20">
        <v>3.8601147001799951E-3</v>
      </c>
      <c r="BV30" s="1">
        <v>22</v>
      </c>
      <c r="BW30" s="15">
        <v>2.0709453128634644E-2</v>
      </c>
      <c r="BX30" s="15">
        <v>0.42286810524967611</v>
      </c>
      <c r="BY30" s="15">
        <v>0.73188803729397267</v>
      </c>
      <c r="BZ30" s="16">
        <v>0.51589389184952772</v>
      </c>
      <c r="CA30" s="16">
        <v>1.2365002190094687</v>
      </c>
      <c r="CB30" s="16">
        <v>0.95053208208579643</v>
      </c>
      <c r="CC30" s="17">
        <v>0.8331268330025775</v>
      </c>
      <c r="CD30" s="17">
        <v>0.86723707749049528</v>
      </c>
      <c r="CE30" s="17">
        <v>0.15467712838986866</v>
      </c>
      <c r="CF30" s="18">
        <v>0.25567226084727263</v>
      </c>
      <c r="CG30" s="18">
        <v>0.43297874945630849</v>
      </c>
      <c r="CH30" s="18">
        <v>0.27768548575024521</v>
      </c>
      <c r="CI30" s="19">
        <v>1.9028046820779299E-4</v>
      </c>
      <c r="CJ30" s="19">
        <v>8.5290075862998194E-6</v>
      </c>
      <c r="CK30" s="19">
        <v>9.8650643997422183E-4</v>
      </c>
      <c r="CL30" s="20">
        <v>1.4411140588362903E-3</v>
      </c>
      <c r="CM30" s="20">
        <v>5.3374081690423791E-3</v>
      </c>
      <c r="CN30" s="20">
        <v>8.3761544660010401E-4</v>
      </c>
      <c r="CS30" s="1">
        <v>22</v>
      </c>
      <c r="CT30" s="15">
        <v>3.880090680811573E-2</v>
      </c>
      <c r="CU30" s="15">
        <v>0.61808464339092994</v>
      </c>
      <c r="CV30" s="15">
        <v>1.0501509722837048</v>
      </c>
      <c r="CW30" s="16">
        <v>0.7013281482882</v>
      </c>
      <c r="CX30" s="16">
        <v>1.112797529242318</v>
      </c>
      <c r="CY30" s="16">
        <v>9.7745213670303532E-2</v>
      </c>
      <c r="CZ30" s="17">
        <v>0.8896358262237849</v>
      </c>
      <c r="DA30" s="17">
        <v>8.1678501989388308E-2</v>
      </c>
      <c r="DB30" s="17">
        <v>1.3092001505898512</v>
      </c>
      <c r="DC30" s="18">
        <v>0.4974475231808993</v>
      </c>
      <c r="DD30" s="18">
        <v>0.91853881320774422</v>
      </c>
      <c r="DE30" s="18">
        <v>0.51160669796439695</v>
      </c>
      <c r="DF30" s="19">
        <v>3.5760560655273554E-4</v>
      </c>
      <c r="DG30" s="19">
        <v>2.2674208537243334E-4</v>
      </c>
      <c r="DH30" s="19">
        <v>1.2153160595063106E-3</v>
      </c>
      <c r="DI30" s="20">
        <v>1.6383852232078056E-3</v>
      </c>
      <c r="DJ30" s="20">
        <v>1.5211423197049045E-3</v>
      </c>
      <c r="DK30" s="20">
        <v>3.5427609856719666E-3</v>
      </c>
    </row>
    <row r="31" spans="6:115" ht="15.75" x14ac:dyDescent="0.25">
      <c r="F31" s="1">
        <v>23</v>
      </c>
      <c r="G31" s="15">
        <v>4.4658634625729367E-2</v>
      </c>
      <c r="H31" s="15">
        <v>0.10388100447836525</v>
      </c>
      <c r="I31" s="15">
        <v>5.5703737530992378E-2</v>
      </c>
      <c r="J31" s="16">
        <v>0.15714363942970042</v>
      </c>
      <c r="K31" s="16">
        <v>7.4705752124294325E-2</v>
      </c>
      <c r="L31" s="16">
        <v>0.73080577459295848</v>
      </c>
      <c r="M31" s="17">
        <v>0.91669632106396193</v>
      </c>
      <c r="N31" s="17">
        <v>0.60635777332832985</v>
      </c>
      <c r="O31" s="17">
        <v>0.80812390382311983</v>
      </c>
      <c r="P31" s="18">
        <v>0.3721552885477587</v>
      </c>
      <c r="Q31" s="18">
        <v>0.86567503731963591</v>
      </c>
      <c r="R31" s="18">
        <v>0.4284902886999794</v>
      </c>
      <c r="S31" s="19">
        <v>3.9282055640943447E-4</v>
      </c>
      <c r="T31" s="19">
        <v>9.1510345807377391E-4</v>
      </c>
      <c r="U31" s="19">
        <v>4.8435271395519392E-4</v>
      </c>
      <c r="V31" s="20">
        <v>3.2379755227129881E-4</v>
      </c>
      <c r="W31" s="20">
        <v>6.0936475837514159E-4</v>
      </c>
      <c r="X31" s="20">
        <v>3.029441554831314E-3</v>
      </c>
      <c r="AC31" s="1">
        <v>23</v>
      </c>
      <c r="AD31" s="15">
        <v>2.1327374645337752E-2</v>
      </c>
      <c r="AE31" s="15">
        <v>0.63997014075052416</v>
      </c>
      <c r="AF31" s="15">
        <v>1.3141347720872576</v>
      </c>
      <c r="AG31" s="16">
        <v>3.1392254634786394E-3</v>
      </c>
      <c r="AH31" s="16">
        <v>0.31588291741013169</v>
      </c>
      <c r="AI31" s="16">
        <v>0.70368627896330549</v>
      </c>
      <c r="AJ31" s="17">
        <v>1.1043521084856063</v>
      </c>
      <c r="AK31" s="17">
        <v>0.70572303453948548</v>
      </c>
      <c r="AL31" s="17">
        <v>0.80917714736381907</v>
      </c>
      <c r="AM31" s="18">
        <v>0.18385667797717967</v>
      </c>
      <c r="AN31" s="18">
        <v>0.3300924897817728</v>
      </c>
      <c r="AO31" s="18">
        <v>8.2602495072643028E-2</v>
      </c>
      <c r="AP31" s="19">
        <v>1.8857420979323525E-4</v>
      </c>
      <c r="AQ31" s="19">
        <v>1.1325204440976178E-3</v>
      </c>
      <c r="AR31" s="19">
        <v>1.8399377085202007E-3</v>
      </c>
      <c r="AS31" s="20">
        <v>4.6974468652205559E-5</v>
      </c>
      <c r="AT31" s="20">
        <v>3.0123184309744921E-3</v>
      </c>
      <c r="AU31" s="20">
        <v>2.3167217127052502E-3</v>
      </c>
      <c r="AZ31" s="1">
        <v>23</v>
      </c>
      <c r="BA31" s="15">
        <v>7.0945804144605079E-2</v>
      </c>
      <c r="BB31" s="15">
        <v>0.76160975677647458</v>
      </c>
      <c r="BC31" s="15">
        <v>1.1416036190210901</v>
      </c>
      <c r="BD31" s="16">
        <v>0.96546643019174405</v>
      </c>
      <c r="BE31" s="16">
        <v>1.5125249193097803</v>
      </c>
      <c r="BF31" s="16">
        <v>3.672520898883485E-2</v>
      </c>
      <c r="BG31" s="17">
        <v>0.53674082685729319</v>
      </c>
      <c r="BH31" s="17">
        <v>0.12048704530697385</v>
      </c>
      <c r="BI31" s="17">
        <v>1.2543829736115952</v>
      </c>
      <c r="BJ31" s="18">
        <v>0.75474259728297521</v>
      </c>
      <c r="BK31" s="18">
        <v>1.5643769776799008</v>
      </c>
      <c r="BL31" s="18">
        <v>0.85651951528287851</v>
      </c>
      <c r="BM31" s="19">
        <v>6.423132912203311E-4</v>
      </c>
      <c r="BN31" s="19">
        <v>7.4421384851264261E-4</v>
      </c>
      <c r="BO31" s="19">
        <v>1.9201373348941564E-3</v>
      </c>
      <c r="BP31" s="20">
        <v>2.2116598431971557E-3</v>
      </c>
      <c r="BQ31" s="20">
        <v>2.4315476670146992E-3</v>
      </c>
      <c r="BR31" s="20">
        <v>4.2272954832641707E-3</v>
      </c>
      <c r="BV31" s="1">
        <v>23</v>
      </c>
      <c r="BW31" s="15">
        <v>2.0300843177492887E-2</v>
      </c>
      <c r="BX31" s="15">
        <v>0.42220981937804636</v>
      </c>
      <c r="BY31" s="15">
        <v>0.73324742882932059</v>
      </c>
      <c r="BZ31" s="16">
        <v>0.51138400164895736</v>
      </c>
      <c r="CA31" s="16">
        <v>1.2370508369094828</v>
      </c>
      <c r="CB31" s="16">
        <v>0.98131032881025437</v>
      </c>
      <c r="CC31" s="17">
        <v>0.8860218011317762</v>
      </c>
      <c r="CD31" s="17">
        <v>0.87767292741995606</v>
      </c>
      <c r="CE31" s="17">
        <v>0.22822641581652722</v>
      </c>
      <c r="CF31" s="18">
        <v>0.25062769354931225</v>
      </c>
      <c r="CG31" s="18">
        <v>0.42514201288906728</v>
      </c>
      <c r="CH31" s="18">
        <v>0.26367114002506564</v>
      </c>
      <c r="CI31" s="19">
        <v>1.8652688227127623E-4</v>
      </c>
      <c r="CJ31" s="19">
        <v>2.4734858495856216E-6</v>
      </c>
      <c r="CK31" s="19">
        <v>9.7415397073197241E-4</v>
      </c>
      <c r="CL31" s="20">
        <v>1.4279114287938377E-3</v>
      </c>
      <c r="CM31" s="20">
        <v>5.3370274600087475E-3</v>
      </c>
      <c r="CN31" s="20">
        <v>9.5044464592464184E-4</v>
      </c>
      <c r="CS31" s="1">
        <v>23</v>
      </c>
      <c r="CT31" s="15">
        <v>3.6339927576409733E-2</v>
      </c>
      <c r="CU31" s="15">
        <v>0.61810869468827556</v>
      </c>
      <c r="CV31" s="15">
        <v>1.0466345854807446</v>
      </c>
      <c r="CW31" s="16">
        <v>0.7260891797327802</v>
      </c>
      <c r="CX31" s="16">
        <v>1.13393954261014</v>
      </c>
      <c r="CY31" s="16">
        <v>0.151083673874606</v>
      </c>
      <c r="CZ31" s="17">
        <v>0.86068345870029006</v>
      </c>
      <c r="DA31" s="17">
        <v>8.1985572981725249E-2</v>
      </c>
      <c r="DB31" s="17">
        <v>1.2633382012675938</v>
      </c>
      <c r="DC31" s="18">
        <v>0.46589650738995786</v>
      </c>
      <c r="DD31" s="18">
        <v>0.91885949717234083</v>
      </c>
      <c r="DE31" s="18">
        <v>0.55727405904169036</v>
      </c>
      <c r="DF31" s="19">
        <v>3.349324180563773E-4</v>
      </c>
      <c r="DG31" s="19">
        <v>2.2696599843330389E-4</v>
      </c>
      <c r="DH31" s="19">
        <v>1.2480724138171917E-3</v>
      </c>
      <c r="DI31" s="20">
        <v>1.7057710914679669E-3</v>
      </c>
      <c r="DJ31" s="20">
        <v>1.5861049172539721E-3</v>
      </c>
      <c r="DK31" s="20">
        <v>3.3317836842433612E-3</v>
      </c>
    </row>
    <row r="32" spans="6:115" ht="15.75" x14ac:dyDescent="0.25">
      <c r="F32" s="1">
        <v>24</v>
      </c>
      <c r="G32" s="15">
        <v>3.5480697092669287E-2</v>
      </c>
      <c r="H32" s="15">
        <v>0.10176776409518302</v>
      </c>
      <c r="I32" s="15">
        <v>7.2360718895132778E-2</v>
      </c>
      <c r="J32" s="16">
        <v>0.20634166092747511</v>
      </c>
      <c r="K32" s="16">
        <v>6.0214104180778223E-2</v>
      </c>
      <c r="L32" s="16">
        <v>0.81725089012851437</v>
      </c>
      <c r="M32" s="17">
        <v>0.89573378514487445</v>
      </c>
      <c r="N32" s="17">
        <v>0.65790589429360435</v>
      </c>
      <c r="O32" s="17">
        <v>0.87528298184157161</v>
      </c>
      <c r="P32" s="18">
        <v>0.29567247577221634</v>
      </c>
      <c r="Q32" s="18">
        <v>0.84806470079324714</v>
      </c>
      <c r="R32" s="18">
        <v>0.55662091457795704</v>
      </c>
      <c r="S32" s="19">
        <v>3.1211939227937524E-4</v>
      </c>
      <c r="T32" s="19">
        <v>8.9646864012837835E-4</v>
      </c>
      <c r="U32" s="19">
        <v>6.2908304537356852E-4</v>
      </c>
      <c r="V32" s="20">
        <v>4.9187112787629772E-4</v>
      </c>
      <c r="W32" s="20">
        <v>5.527131933472651E-4</v>
      </c>
      <c r="X32" s="20">
        <v>3.4276145844575057E-3</v>
      </c>
      <c r="AC32" s="1">
        <v>24</v>
      </c>
      <c r="AD32" s="15">
        <v>1.0143293482231912E-2</v>
      </c>
      <c r="AE32" s="15">
        <v>0.63536827312178679</v>
      </c>
      <c r="AF32" s="15">
        <v>1.3285488773425087</v>
      </c>
      <c r="AG32" s="16">
        <v>1.0259175333203537E-3</v>
      </c>
      <c r="AH32" s="16">
        <v>0.33958665430420065</v>
      </c>
      <c r="AI32" s="16">
        <v>0.64833497064705148</v>
      </c>
      <c r="AJ32" s="17">
        <v>1.2115882766792838</v>
      </c>
      <c r="AK32" s="17">
        <v>0.69748076438500539</v>
      </c>
      <c r="AL32" s="17">
        <v>0.90791555361462406</v>
      </c>
      <c r="AM32" s="18">
        <v>8.7442185191849403E-2</v>
      </c>
      <c r="AN32" s="18">
        <v>0.36976376244327208</v>
      </c>
      <c r="AO32" s="18">
        <v>2.8275237660133925E-2</v>
      </c>
      <c r="AP32" s="19">
        <v>8.9675810463818451E-5</v>
      </c>
      <c r="AQ32" s="19">
        <v>1.1734086273880173E-3</v>
      </c>
      <c r="AR32" s="19">
        <v>1.7131153057492465E-3</v>
      </c>
      <c r="AS32" s="20">
        <v>2.884338786746099E-5</v>
      </c>
      <c r="AT32" s="20">
        <v>3.0723071314913142E-3</v>
      </c>
      <c r="AU32" s="20">
        <v>2.5811948300500376E-3</v>
      </c>
      <c r="AZ32" s="1">
        <v>24</v>
      </c>
      <c r="BA32" s="15">
        <v>7.3730316683206634E-2</v>
      </c>
      <c r="BB32" s="15">
        <v>0.7596003405375269</v>
      </c>
      <c r="BC32" s="15">
        <v>1.144714078469242</v>
      </c>
      <c r="BD32" s="16">
        <v>0.9457690254128116</v>
      </c>
      <c r="BE32" s="16">
        <v>1.5915960440204546</v>
      </c>
      <c r="BF32" s="16">
        <v>3.3994625948992413E-2</v>
      </c>
      <c r="BG32" s="17">
        <v>0.56905570490868485</v>
      </c>
      <c r="BH32" s="17">
        <v>9.1226288962512628E-2</v>
      </c>
      <c r="BI32" s="17">
        <v>1.3517519376262863</v>
      </c>
      <c r="BJ32" s="18">
        <v>0.78436507109771003</v>
      </c>
      <c r="BK32" s="18">
        <v>1.5425354968218941</v>
      </c>
      <c r="BL32" s="18">
        <v>0.82377783688123563</v>
      </c>
      <c r="BM32" s="19">
        <v>6.6750451595620763E-4</v>
      </c>
      <c r="BN32" s="19">
        <v>7.2581362656054527E-4</v>
      </c>
      <c r="BO32" s="19">
        <v>1.8917221291205879E-3</v>
      </c>
      <c r="BP32" s="20">
        <v>2.1559879856348774E-3</v>
      </c>
      <c r="BQ32" s="20">
        <v>2.6943280788506163E-3</v>
      </c>
      <c r="BR32" s="20">
        <v>4.2496745524995818E-3</v>
      </c>
      <c r="BV32" s="1">
        <v>24</v>
      </c>
      <c r="BW32" s="15">
        <v>2.0033841201512175E-2</v>
      </c>
      <c r="BX32" s="15">
        <v>0.42233706008054045</v>
      </c>
      <c r="BY32" s="15">
        <v>0.73308299610015693</v>
      </c>
      <c r="BZ32" s="16">
        <v>0.50293806663646357</v>
      </c>
      <c r="CA32" s="16">
        <v>1.2385590851878663</v>
      </c>
      <c r="CB32" s="16">
        <v>0.98414459767311757</v>
      </c>
      <c r="CC32" s="17">
        <v>0.87771718261614828</v>
      </c>
      <c r="CD32" s="17">
        <v>0.88284795225010215</v>
      </c>
      <c r="CE32" s="17">
        <v>0.2285130995125125</v>
      </c>
      <c r="CF32" s="18">
        <v>0.24733137285812354</v>
      </c>
      <c r="CG32" s="18">
        <v>0.42665678315703048</v>
      </c>
      <c r="CH32" s="18">
        <v>0.26536632279989314</v>
      </c>
      <c r="CI32" s="19">
        <v>1.8407412352428043E-4</v>
      </c>
      <c r="CJ32" s="19">
        <v>3.6439571658997139E-6</v>
      </c>
      <c r="CK32" s="19">
        <v>9.756481500227121E-4</v>
      </c>
      <c r="CL32" s="20">
        <v>1.4045167507429346E-3</v>
      </c>
      <c r="CM32" s="20">
        <v>5.3422825500867299E-3</v>
      </c>
      <c r="CN32" s="20">
        <v>9.619442222761343E-4</v>
      </c>
      <c r="CS32" s="1">
        <v>24</v>
      </c>
      <c r="CT32" s="15">
        <v>3.7588156084840882E-2</v>
      </c>
      <c r="CU32" s="15">
        <v>0.62012046047433367</v>
      </c>
      <c r="CV32" s="15">
        <v>1.0531316892137674</v>
      </c>
      <c r="CW32" s="16">
        <v>0.71570762109963137</v>
      </c>
      <c r="CX32" s="16">
        <v>1.0998129045640814</v>
      </c>
      <c r="CY32" s="16">
        <v>0.10951378309588353</v>
      </c>
      <c r="CZ32" s="17">
        <v>0.8974366293874122</v>
      </c>
      <c r="DA32" s="17">
        <v>8.5893185340838812E-2</v>
      </c>
      <c r="DB32" s="17">
        <v>1.3308893030126638</v>
      </c>
      <c r="DC32" s="18">
        <v>0.48189943698506776</v>
      </c>
      <c r="DD32" s="18">
        <v>0.94568304098653699</v>
      </c>
      <c r="DE32" s="18">
        <v>0.47289608848308229</v>
      </c>
      <c r="DF32" s="19">
        <v>3.4643258148281397E-4</v>
      </c>
      <c r="DG32" s="19">
        <v>2.4569554372122493E-4</v>
      </c>
      <c r="DH32" s="19">
        <v>1.1875478313632115E-3</v>
      </c>
      <c r="DI32" s="20">
        <v>1.6769785530462711E-3</v>
      </c>
      <c r="DJ32" s="20">
        <v>1.4749686917157057E-3</v>
      </c>
      <c r="DK32" s="20">
        <v>3.5102798596152729E-3</v>
      </c>
    </row>
    <row r="33" spans="6:115" ht="15.75" x14ac:dyDescent="0.25">
      <c r="F33" s="1">
        <v>25</v>
      </c>
      <c r="G33" s="15">
        <v>5.5924188643060917E-2</v>
      </c>
      <c r="H33" s="15">
        <v>0.10180854676560555</v>
      </c>
      <c r="I33" s="15">
        <v>4.459550484927649E-2</v>
      </c>
      <c r="J33" s="16">
        <v>0.12295789197849327</v>
      </c>
      <c r="K33" s="16">
        <v>9.0637507746046092E-2</v>
      </c>
      <c r="L33" s="16">
        <v>0.67876427422774799</v>
      </c>
      <c r="M33" s="17">
        <v>0.97239023007700442</v>
      </c>
      <c r="N33" s="17">
        <v>0.58646375358594438</v>
      </c>
      <c r="O33" s="17">
        <v>0.84124677912539603</v>
      </c>
      <c r="P33" s="18">
        <v>0.46603490535882713</v>
      </c>
      <c r="Q33" s="18">
        <v>0.84840455637999035</v>
      </c>
      <c r="R33" s="18">
        <v>0.34304234499440917</v>
      </c>
      <c r="S33" s="19">
        <v>4.9185779257909779E-4</v>
      </c>
      <c r="T33" s="19">
        <v>8.9682825935510902E-4</v>
      </c>
      <c r="U33" s="19">
        <v>3.8780794727677481E-4</v>
      </c>
      <c r="V33" s="20">
        <v>1.929439709084102E-4</v>
      </c>
      <c r="W33" s="20">
        <v>6.5662280268097284E-4</v>
      </c>
      <c r="X33" s="20">
        <v>2.7857069440057058E-3</v>
      </c>
      <c r="AC33" s="1">
        <v>25</v>
      </c>
      <c r="AD33" s="15">
        <v>1.6711621341638422E-2</v>
      </c>
      <c r="AE33" s="15">
        <v>0.6384840864027137</v>
      </c>
      <c r="AF33" s="15">
        <v>1.3202528342630111</v>
      </c>
      <c r="AG33" s="16">
        <v>3.3066872372995777E-2</v>
      </c>
      <c r="AH33" s="16">
        <v>0.29514656740946488</v>
      </c>
      <c r="AI33" s="16">
        <v>0.71578206064743621</v>
      </c>
      <c r="AJ33" s="17">
        <v>1.1578948918331664</v>
      </c>
      <c r="AK33" s="17">
        <v>0.69673146904117422</v>
      </c>
      <c r="AL33" s="17">
        <v>0.84923989600330785</v>
      </c>
      <c r="AM33" s="18">
        <v>0.14406570122110759</v>
      </c>
      <c r="AN33" s="18">
        <v>0.34290330312489309</v>
      </c>
      <c r="AO33" s="18">
        <v>3.5540478335946306E-2</v>
      </c>
      <c r="AP33" s="19">
        <v>1.4775542498746128E-4</v>
      </c>
      <c r="AQ33" s="19">
        <v>1.145724641361201E-3</v>
      </c>
      <c r="AR33" s="19">
        <v>1.7861125073805881E-3</v>
      </c>
      <c r="AS33" s="20">
        <v>4.2238212393130858E-5</v>
      </c>
      <c r="AT33" s="20">
        <v>2.9423171066584874E-3</v>
      </c>
      <c r="AU33" s="20">
        <v>2.2942285574977239E-3</v>
      </c>
      <c r="AZ33" s="1">
        <v>25</v>
      </c>
      <c r="BA33" s="15">
        <v>3.784436820604694E-2</v>
      </c>
      <c r="BB33" s="15">
        <v>0.76293408564732756</v>
      </c>
      <c r="BC33" s="15">
        <v>1.0967371247119015</v>
      </c>
      <c r="BD33" s="16">
        <v>1.0682962945369967</v>
      </c>
      <c r="BE33" s="16">
        <v>1.6055657488086721</v>
      </c>
      <c r="BF33" s="16">
        <v>0.29278920781749151</v>
      </c>
      <c r="BG33" s="17">
        <v>0.32861107177217502</v>
      </c>
      <c r="BH33" s="17">
        <v>1.2130339989608857E-2</v>
      </c>
      <c r="BI33" s="17">
        <v>1.2507051299474428</v>
      </c>
      <c r="BJ33" s="18">
        <v>0.40259966176641337</v>
      </c>
      <c r="BK33" s="18">
        <v>1.5787718567107927</v>
      </c>
      <c r="BL33" s="18">
        <v>1.3287984027479911</v>
      </c>
      <c r="BM33" s="19">
        <v>3.4274026805758417E-4</v>
      </c>
      <c r="BN33" s="19">
        <v>7.5634113369116296E-4</v>
      </c>
      <c r="BO33" s="19">
        <v>2.3298106494145103E-3</v>
      </c>
      <c r="BP33" s="20">
        <v>2.5487742267360503E-3</v>
      </c>
      <c r="BQ33" s="20">
        <v>2.728901348572621E-3</v>
      </c>
      <c r="BR33" s="20">
        <v>3.0783393301807567E-3</v>
      </c>
      <c r="BV33" s="1">
        <v>25</v>
      </c>
      <c r="BW33" s="15">
        <v>5.1538249337390617E-2</v>
      </c>
      <c r="BX33" s="15">
        <v>0.41880731861624365</v>
      </c>
      <c r="BY33" s="15">
        <v>0.7631609080930668</v>
      </c>
      <c r="BZ33" s="16">
        <v>0.74462941768640156</v>
      </c>
      <c r="CA33" s="16">
        <v>1.2859400897625279</v>
      </c>
      <c r="CB33" s="16">
        <v>0.64061433285312708</v>
      </c>
      <c r="CC33" s="17">
        <v>1.1339157511541031</v>
      </c>
      <c r="CD33" s="17">
        <v>0.65708301789778578</v>
      </c>
      <c r="CE33" s="17">
        <v>0.13255535101768601</v>
      </c>
      <c r="CF33" s="18">
        <v>0.63627468317762792</v>
      </c>
      <c r="CG33" s="18">
        <v>0.38463605143927804</v>
      </c>
      <c r="CH33" s="18">
        <v>4.4715244137336969E-2</v>
      </c>
      <c r="CI33" s="19">
        <v>4.7339253318656738E-4</v>
      </c>
      <c r="CJ33" s="19">
        <v>2.8824583895636913E-5</v>
      </c>
      <c r="CK33" s="19">
        <v>7.022516037533677E-4</v>
      </c>
      <c r="CL33" s="20">
        <v>2.1374827894778958E-3</v>
      </c>
      <c r="CM33" s="20">
        <v>5.4827982097049865E-3</v>
      </c>
      <c r="CN33" s="20">
        <v>4.6896568610577116E-4</v>
      </c>
      <c r="CS33" s="1">
        <v>25</v>
      </c>
      <c r="CT33" s="15">
        <v>2.8738550022587322E-2</v>
      </c>
      <c r="CU33" s="15">
        <v>0.61965565766898811</v>
      </c>
      <c r="CV33" s="15">
        <v>1.0426635441725789</v>
      </c>
      <c r="CW33" s="16">
        <v>0.72563749641056285</v>
      </c>
      <c r="CX33" s="16">
        <v>1.1552396001319889</v>
      </c>
      <c r="CY33" s="16">
        <v>0.17322828199839951</v>
      </c>
      <c r="CZ33" s="17">
        <v>0.92869815036682457</v>
      </c>
      <c r="DA33" s="17">
        <v>9.7798674279122838E-2</v>
      </c>
      <c r="DB33" s="17">
        <v>1.3735988810296822</v>
      </c>
      <c r="DC33" s="18">
        <v>0.36844294900747598</v>
      </c>
      <c r="DD33" s="18">
        <v>0.93948567024860741</v>
      </c>
      <c r="DE33" s="18">
        <v>0.6088460240828617</v>
      </c>
      <c r="DF33" s="19">
        <v>2.6489330471346495E-4</v>
      </c>
      <c r="DG33" s="19">
        <v>2.4136816089947999E-4</v>
      </c>
      <c r="DH33" s="19">
        <v>1.2850612325487898E-3</v>
      </c>
      <c r="DI33" s="20">
        <v>1.723590333044478E-3</v>
      </c>
      <c r="DJ33" s="20">
        <v>1.646896345008253E-3</v>
      </c>
      <c r="DK33" s="20">
        <v>3.2347749525220015E-3</v>
      </c>
    </row>
    <row r="34" spans="6:115" ht="15.75" x14ac:dyDescent="0.25">
      <c r="F34" s="1">
        <v>26</v>
      </c>
      <c r="G34" s="15">
        <v>8.3237344379019002E-2</v>
      </c>
      <c r="H34" s="15">
        <v>9.8611494820799422E-2</v>
      </c>
      <c r="I34" s="15">
        <v>8.6871156408465135E-3</v>
      </c>
      <c r="J34" s="16">
        <v>0.10391768171888062</v>
      </c>
      <c r="K34" s="16">
        <v>0.15672449515742559</v>
      </c>
      <c r="L34" s="16">
        <v>0.53725070158479504</v>
      </c>
      <c r="M34" s="17">
        <v>1.1458329127906439</v>
      </c>
      <c r="N34" s="17">
        <v>0.51685067611628033</v>
      </c>
      <c r="O34" s="17">
        <v>0.91279285006900646</v>
      </c>
      <c r="P34" s="18">
        <v>0.69364453649179736</v>
      </c>
      <c r="Q34" s="18">
        <v>0.82176245684003191</v>
      </c>
      <c r="R34" s="18">
        <v>6.6823966468100821E-2</v>
      </c>
      <c r="S34" s="19">
        <v>7.3187943353081319E-4</v>
      </c>
      <c r="T34" s="19">
        <v>8.6863773107415121E-4</v>
      </c>
      <c r="U34" s="19">
        <v>7.5571341105584708E-5</v>
      </c>
      <c r="V34" s="20">
        <v>5.9509344717878498E-5</v>
      </c>
      <c r="W34" s="20">
        <v>8.7106390497782016E-4</v>
      </c>
      <c r="X34" s="20">
        <v>2.1014868708528756E-3</v>
      </c>
      <c r="AC34" s="1">
        <v>26</v>
      </c>
      <c r="AD34" s="15">
        <v>1.4022969891145294E-2</v>
      </c>
      <c r="AE34" s="15">
        <v>0.63650978168801464</v>
      </c>
      <c r="AF34" s="15">
        <v>1.3199935347911267</v>
      </c>
      <c r="AG34" s="16">
        <v>2.3923898726972037E-2</v>
      </c>
      <c r="AH34" s="16">
        <v>0.34554905932730356</v>
      </c>
      <c r="AI34" s="16">
        <v>0.66612989645846066</v>
      </c>
      <c r="AJ34" s="17">
        <v>1.1475510245766902</v>
      </c>
      <c r="AK34" s="17">
        <v>0.70123111981171216</v>
      </c>
      <c r="AL34" s="17">
        <v>0.84598784154164053</v>
      </c>
      <c r="AM34" s="18">
        <v>0.12088767147556384</v>
      </c>
      <c r="AN34" s="18">
        <v>0.35992317135501511</v>
      </c>
      <c r="AO34" s="18">
        <v>3.7535089658266622E-2</v>
      </c>
      <c r="AP34" s="19">
        <v>1.2398043957773108E-4</v>
      </c>
      <c r="AQ34" s="19">
        <v>1.1632665307855781E-3</v>
      </c>
      <c r="AR34" s="19">
        <v>1.788393895582385E-3</v>
      </c>
      <c r="AS34" s="20">
        <v>9.7998727212167402E-5</v>
      </c>
      <c r="AT34" s="20">
        <v>3.0947033547201737E-3</v>
      </c>
      <c r="AU34" s="20">
        <v>2.4812329224346281E-3</v>
      </c>
      <c r="AZ34" s="1">
        <v>26</v>
      </c>
      <c r="BA34" s="15">
        <v>7.366239010029707E-2</v>
      </c>
      <c r="BB34" s="15">
        <v>0.75894218070524</v>
      </c>
      <c r="BC34" s="15">
        <v>1.14204797020215</v>
      </c>
      <c r="BD34" s="16">
        <v>0.90875076616681172</v>
      </c>
      <c r="BE34" s="16">
        <v>1.6473004907378088</v>
      </c>
      <c r="BF34" s="16">
        <v>0.13411552936861959</v>
      </c>
      <c r="BG34" s="17">
        <v>0.52800911755757263</v>
      </c>
      <c r="BH34" s="17">
        <v>9.1661850586594568E-2</v>
      </c>
      <c r="BI34" s="17">
        <v>1.2911931383319724</v>
      </c>
      <c r="BJ34" s="18">
        <v>0.78364244787526793</v>
      </c>
      <c r="BK34" s="18">
        <v>1.5353815856013837</v>
      </c>
      <c r="BL34" s="18">
        <v>0.85184213442957224</v>
      </c>
      <c r="BM34" s="19">
        <v>6.6689000718989089E-4</v>
      </c>
      <c r="BN34" s="19">
        <v>7.1978701980890403E-4</v>
      </c>
      <c r="BO34" s="19">
        <v>1.9160781308005248E-3</v>
      </c>
      <c r="BP34" s="20">
        <v>2.0645935103870139E-3</v>
      </c>
      <c r="BQ34" s="20">
        <v>2.877045852059501E-3</v>
      </c>
      <c r="BR34" s="20">
        <v>3.8579314200314352E-3</v>
      </c>
      <c r="BV34" s="1">
        <v>26</v>
      </c>
      <c r="BW34" s="15">
        <v>2.8371312011545316E-2</v>
      </c>
      <c r="BX34" s="15">
        <v>0.42485838613117538</v>
      </c>
      <c r="BY34" s="15">
        <v>0.74268630424538928</v>
      </c>
      <c r="BZ34" s="16">
        <v>0.60288235215683206</v>
      </c>
      <c r="CA34" s="16">
        <v>1.2299782200799414</v>
      </c>
      <c r="CB34" s="16">
        <v>0.83499416453374187</v>
      </c>
      <c r="CC34" s="17">
        <v>0.84834122473629181</v>
      </c>
      <c r="CD34" s="17">
        <v>0.83526549106758863</v>
      </c>
      <c r="CE34" s="17">
        <v>0.13968188360082176</v>
      </c>
      <c r="CF34" s="18">
        <v>0.35026311125356008</v>
      </c>
      <c r="CG34" s="18">
        <v>0.45667256947420154</v>
      </c>
      <c r="CH34" s="18">
        <v>0.16636314604506061</v>
      </c>
      <c r="CI34" s="19">
        <v>2.6065840517663919E-4</v>
      </c>
      <c r="CJ34" s="19">
        <v>2.683793723512462E-5</v>
      </c>
      <c r="CK34" s="19">
        <v>8.8837581226963724E-4</v>
      </c>
      <c r="CL34" s="20">
        <v>1.695161251014321E-3</v>
      </c>
      <c r="CM34" s="20">
        <v>5.3229718224756528E-3</v>
      </c>
      <c r="CN34" s="20">
        <v>3.5348374604637911E-4</v>
      </c>
      <c r="CS34" s="1">
        <v>26</v>
      </c>
      <c r="CT34" s="15">
        <v>4.0942743994331544E-2</v>
      </c>
      <c r="CU34" s="15">
        <v>0.61748269965569691</v>
      </c>
      <c r="CV34" s="15">
        <v>1.0520639867036128</v>
      </c>
      <c r="CW34" s="16">
        <v>0.69743599685195468</v>
      </c>
      <c r="CX34" s="16">
        <v>1.1083915058940632</v>
      </c>
      <c r="CY34" s="16">
        <v>7.5636934165809105E-2</v>
      </c>
      <c r="CZ34" s="17">
        <v>0.88209782808653103</v>
      </c>
      <c r="DA34" s="17">
        <v>8.8459609075220838E-2</v>
      </c>
      <c r="DB34" s="17">
        <v>1.3154345257044433</v>
      </c>
      <c r="DC34" s="18">
        <v>0.52490697428639133</v>
      </c>
      <c r="DD34" s="18">
        <v>0.91051289673784674</v>
      </c>
      <c r="DE34" s="18">
        <v>0.48676235484867159</v>
      </c>
      <c r="DF34" s="19">
        <v>3.773376072572221E-4</v>
      </c>
      <c r="DG34" s="19">
        <v>2.2113813755342271E-4</v>
      </c>
      <c r="DH34" s="19">
        <v>1.1974946934073527E-3</v>
      </c>
      <c r="DI34" s="20">
        <v>1.6234233782114194E-3</v>
      </c>
      <c r="DJ34" s="20">
        <v>1.5094314660170083E-3</v>
      </c>
      <c r="DK34" s="20">
        <v>3.6318953919467489E-3</v>
      </c>
    </row>
    <row r="35" spans="6:115" ht="15.75" x14ac:dyDescent="0.25">
      <c r="F35" s="1">
        <v>27</v>
      </c>
      <c r="G35" s="15">
        <v>3.8465008090449074E-2</v>
      </c>
      <c r="H35" s="15">
        <v>0.10451509015986327</v>
      </c>
      <c r="I35" s="15">
        <v>6.6811519401872826E-2</v>
      </c>
      <c r="J35" s="16">
        <v>0.16651970605838712</v>
      </c>
      <c r="K35" s="16">
        <v>6.9865713984417571E-2</v>
      </c>
      <c r="L35" s="16">
        <v>0.76411757499748345</v>
      </c>
      <c r="M35" s="17">
        <v>0.84988283534332831</v>
      </c>
      <c r="N35" s="17">
        <v>0.64158509424631138</v>
      </c>
      <c r="O35" s="17">
        <v>0.80553412610055231</v>
      </c>
      <c r="P35" s="18">
        <v>0.32054173408711734</v>
      </c>
      <c r="Q35" s="18">
        <v>0.87095908466543415</v>
      </c>
      <c r="R35" s="18">
        <v>0.51393476462982901</v>
      </c>
      <c r="S35" s="19">
        <v>3.3836192025593625E-4</v>
      </c>
      <c r="T35" s="19">
        <v>9.2069505867742318E-4</v>
      </c>
      <c r="U35" s="19">
        <v>5.8087212930091347E-4</v>
      </c>
      <c r="V35" s="20">
        <v>3.6863672035125639E-4</v>
      </c>
      <c r="W35" s="20">
        <v>5.9502223644558594E-4</v>
      </c>
      <c r="X35" s="20">
        <v>3.200830848968828E-3</v>
      </c>
      <c r="AC35" s="1">
        <v>27</v>
      </c>
      <c r="AD35" s="15">
        <v>2.5132254305478188E-2</v>
      </c>
      <c r="AE35" s="15">
        <v>0.63991378183576331</v>
      </c>
      <c r="AF35" s="15">
        <v>1.3148825127184369</v>
      </c>
      <c r="AG35" s="16">
        <v>2.6837822576946512E-2</v>
      </c>
      <c r="AH35" s="16">
        <v>0.30534578680086866</v>
      </c>
      <c r="AI35" s="16">
        <v>0.68063152460604948</v>
      </c>
      <c r="AJ35" s="17">
        <v>1.1050543615833375</v>
      </c>
      <c r="AK35" s="17">
        <v>0.72404228643087654</v>
      </c>
      <c r="AL35" s="17">
        <v>0.8353221646283373</v>
      </c>
      <c r="AM35" s="18">
        <v>0.21665736470263655</v>
      </c>
      <c r="AN35" s="18">
        <v>0.33057834249521351</v>
      </c>
      <c r="AO35" s="18">
        <v>7.6850644063439791E-2</v>
      </c>
      <c r="AP35" s="19">
        <v>2.2222497820734152E-4</v>
      </c>
      <c r="AQ35" s="19">
        <v>1.1330212231822621E-3</v>
      </c>
      <c r="AR35" s="19">
        <v>1.8333596289731302E-3</v>
      </c>
      <c r="AS35" s="20">
        <v>4.405103596671899E-6</v>
      </c>
      <c r="AT35" s="20">
        <v>2.9789683028886849E-3</v>
      </c>
      <c r="AU35" s="20">
        <v>2.406859750293755E-3</v>
      </c>
      <c r="AZ35" s="1">
        <v>27</v>
      </c>
      <c r="BA35" s="15">
        <v>6.40447425779226E-2</v>
      </c>
      <c r="BB35" s="15">
        <v>0.75764720428187837</v>
      </c>
      <c r="BC35" s="15">
        <v>1.1233981027745426</v>
      </c>
      <c r="BD35" s="16">
        <v>0.98415013205906143</v>
      </c>
      <c r="BE35" s="16">
        <v>1.5723228450407738</v>
      </c>
      <c r="BF35" s="16">
        <v>6.9262874482207484E-2</v>
      </c>
      <c r="BG35" s="17">
        <v>0.40632503265952535</v>
      </c>
      <c r="BH35" s="17">
        <v>1.0035835993674002E-2</v>
      </c>
      <c r="BI35" s="17">
        <v>1.3687012925486983</v>
      </c>
      <c r="BJ35" s="18">
        <v>0.68132704870105676</v>
      </c>
      <c r="BK35" s="18">
        <v>1.5213057549126308</v>
      </c>
      <c r="BL35" s="18">
        <v>1.0481565284044445</v>
      </c>
      <c r="BM35" s="19">
        <v>5.7987398895231735E-4</v>
      </c>
      <c r="BN35" s="19">
        <v>7.0792947445164067E-4</v>
      </c>
      <c r="BO35" s="19">
        <v>2.0864156534873279E-3</v>
      </c>
      <c r="BP35" s="20">
        <v>2.2751055245742173E-3</v>
      </c>
      <c r="BQ35" s="20">
        <v>2.6381269547425257E-3</v>
      </c>
      <c r="BR35" s="20">
        <v>4.0332522859346511E-3</v>
      </c>
      <c r="BV35" s="1">
        <v>27</v>
      </c>
      <c r="BW35" s="15">
        <v>2.0530340054723723E-2</v>
      </c>
      <c r="BX35" s="15">
        <v>0.42279693825329728</v>
      </c>
      <c r="BY35" s="15">
        <v>0.73535066575540231</v>
      </c>
      <c r="BZ35" s="16">
        <v>0.50675265517226942</v>
      </c>
      <c r="CA35" s="16">
        <v>1.2487117916789936</v>
      </c>
      <c r="CB35" s="16">
        <v>0.96904920844694076</v>
      </c>
      <c r="CC35" s="17">
        <v>0.88948323574796362</v>
      </c>
      <c r="CD35" s="17">
        <v>0.87495615230055623</v>
      </c>
      <c r="CE35" s="17">
        <v>0.22748962925332131</v>
      </c>
      <c r="CF35" s="18">
        <v>0.25346098833000863</v>
      </c>
      <c r="CG35" s="18">
        <v>0.43213152330889804</v>
      </c>
      <c r="CH35" s="18">
        <v>0.24198828511703546</v>
      </c>
      <c r="CI35" s="19">
        <v>1.8863509767585995E-4</v>
      </c>
      <c r="CJ35" s="19">
        <v>7.8743439317907615E-6</v>
      </c>
      <c r="CK35" s="19">
        <v>9.5504168775539799E-4</v>
      </c>
      <c r="CL35" s="20">
        <v>1.4160871022771415E-3</v>
      </c>
      <c r="CM35" s="20">
        <v>5.3763625190729192E-3</v>
      </c>
      <c r="CN35" s="20">
        <v>8.9537470387324181E-4</v>
      </c>
      <c r="CS35" s="1">
        <v>27</v>
      </c>
      <c r="CT35" s="15">
        <v>4.0286715193991428E-2</v>
      </c>
      <c r="CU35" s="15">
        <v>0.61752182842204284</v>
      </c>
      <c r="CV35" s="15">
        <v>1.0527775310769274</v>
      </c>
      <c r="CW35" s="16">
        <v>0.70585489684630953</v>
      </c>
      <c r="CX35" s="16">
        <v>1.1176306965063596</v>
      </c>
      <c r="CY35" s="16">
        <v>8.5298051250882426E-2</v>
      </c>
      <c r="CZ35" s="17">
        <v>0.9130112066796382</v>
      </c>
      <c r="DA35" s="17">
        <v>8.2768710990564695E-2</v>
      </c>
      <c r="DB35" s="17">
        <v>1.3354177504544706</v>
      </c>
      <c r="DC35" s="18">
        <v>0.51649634864089777</v>
      </c>
      <c r="DD35" s="18">
        <v>0.91103461362242055</v>
      </c>
      <c r="DE35" s="18">
        <v>0.47749554480555162</v>
      </c>
      <c r="DF35" s="19">
        <v>3.7129393195978189E-4</v>
      </c>
      <c r="DG35" s="19">
        <v>2.2150241466145637E-4</v>
      </c>
      <c r="DH35" s="19">
        <v>1.1908472406081394E-3</v>
      </c>
      <c r="DI35" s="20">
        <v>1.645883581221419E-3</v>
      </c>
      <c r="DJ35" s="20">
        <v>1.5377322868985743E-3</v>
      </c>
      <c r="DK35" s="20">
        <v>3.5987471301835994E-3</v>
      </c>
    </row>
    <row r="36" spans="6:115" ht="15.75" x14ac:dyDescent="0.25">
      <c r="F36" s="1">
        <v>28</v>
      </c>
      <c r="G36" s="15">
        <v>4.8156732834830719E-2</v>
      </c>
      <c r="H36" s="15">
        <v>0.10067494309757925</v>
      </c>
      <c r="I36" s="15">
        <v>5.2874115704567431E-2</v>
      </c>
      <c r="J36" s="16">
        <v>0.16547898551404236</v>
      </c>
      <c r="K36" s="16">
        <v>7.595971105523891E-2</v>
      </c>
      <c r="L36" s="16">
        <v>0.72828945680911217</v>
      </c>
      <c r="M36" s="17">
        <v>0.98116355417196799</v>
      </c>
      <c r="N36" s="17">
        <v>0.61296866157525365</v>
      </c>
      <c r="O36" s="17">
        <v>0.88841850971016145</v>
      </c>
      <c r="P36" s="18">
        <v>0.40130610695686714</v>
      </c>
      <c r="Q36" s="18">
        <v>0.83895785914645626</v>
      </c>
      <c r="R36" s="18">
        <v>0.40672396695826168</v>
      </c>
      <c r="S36" s="19">
        <v>4.2357526893588299E-4</v>
      </c>
      <c r="T36" s="19">
        <v>8.8683231718933442E-4</v>
      </c>
      <c r="U36" s="19">
        <v>4.5976171169037622E-4</v>
      </c>
      <c r="V36" s="20">
        <v>3.3770950848410752E-4</v>
      </c>
      <c r="W36" s="20">
        <v>6.0268692726117578E-4</v>
      </c>
      <c r="X36" s="20">
        <v>3.008861865167467E-3</v>
      </c>
      <c r="AC36" s="1">
        <v>28</v>
      </c>
      <c r="AD36" s="15">
        <v>2.2717923768573022E-2</v>
      </c>
      <c r="AE36" s="15">
        <v>0.64078527990717149</v>
      </c>
      <c r="AF36" s="15">
        <v>1.3159903583143739</v>
      </c>
      <c r="AG36" s="16">
        <v>1.8387705079784506E-2</v>
      </c>
      <c r="AH36" s="16">
        <v>0.32165083967295233</v>
      </c>
      <c r="AI36" s="16">
        <v>0.6606092830164989</v>
      </c>
      <c r="AJ36" s="17">
        <v>1.0662632756182284</v>
      </c>
      <c r="AK36" s="17">
        <v>0.70653015511707651</v>
      </c>
      <c r="AL36" s="17">
        <v>0.76059971774872648</v>
      </c>
      <c r="AM36" s="18">
        <v>0.19584417041888469</v>
      </c>
      <c r="AN36" s="18">
        <v>0.32306542808653665</v>
      </c>
      <c r="AO36" s="18">
        <v>6.8328754864018904E-2</v>
      </c>
      <c r="AP36" s="19">
        <v>2.0087208008046087E-4</v>
      </c>
      <c r="AQ36" s="19">
        <v>1.1252774334241655E-3</v>
      </c>
      <c r="AR36" s="19">
        <v>1.8236134239641988E-3</v>
      </c>
      <c r="AS36" s="20">
        <v>1.1183744443532539E-5</v>
      </c>
      <c r="AT36" s="20">
        <v>3.0330664304368815E-3</v>
      </c>
      <c r="AU36" s="20">
        <v>2.4868764832051138E-3</v>
      </c>
      <c r="AZ36" s="1">
        <v>28</v>
      </c>
      <c r="BA36" s="15">
        <v>5.7709961239156546E-2</v>
      </c>
      <c r="BB36" s="15">
        <v>0.76415104721723759</v>
      </c>
      <c r="BC36" s="15">
        <v>1.1313419295608398</v>
      </c>
      <c r="BD36" s="16">
        <v>1.1263853473052008</v>
      </c>
      <c r="BE36" s="16">
        <v>1.5537167510114862</v>
      </c>
      <c r="BF36" s="16">
        <v>0.16017825412568032</v>
      </c>
      <c r="BG36" s="17">
        <v>0.36384665686510487</v>
      </c>
      <c r="BH36" s="17">
        <v>1.9425247070983059E-2</v>
      </c>
      <c r="BI36" s="17">
        <v>1.3193888751191569</v>
      </c>
      <c r="BJ36" s="18">
        <v>0.6139357578632223</v>
      </c>
      <c r="BK36" s="18">
        <v>1.5919996998621873</v>
      </c>
      <c r="BL36" s="18">
        <v>0.96453729907501684</v>
      </c>
      <c r="BM36" s="19">
        <v>5.2255068502882196E-4</v>
      </c>
      <c r="BN36" s="19">
        <v>7.6748550898741996E-4</v>
      </c>
      <c r="BO36" s="19">
        <v>2.0138690117402769E-3</v>
      </c>
      <c r="BP36" s="20">
        <v>2.6428472514137269E-3</v>
      </c>
      <c r="BQ36" s="20">
        <v>2.5568979794433622E-3</v>
      </c>
      <c r="BR36" s="20">
        <v>3.7173570092995378E-3</v>
      </c>
      <c r="BV36" s="1">
        <v>28</v>
      </c>
      <c r="BW36" s="15">
        <v>2.0688609924909142E-2</v>
      </c>
      <c r="BX36" s="15">
        <v>0.42191539637293468</v>
      </c>
      <c r="BY36" s="15">
        <v>0.73405716220558248</v>
      </c>
      <c r="BZ36" s="16">
        <v>0.52880025643841055</v>
      </c>
      <c r="CA36" s="16">
        <v>1.249736583911965</v>
      </c>
      <c r="CB36" s="16">
        <v>0.96139343843547764</v>
      </c>
      <c r="CC36" s="17">
        <v>0.89444612476116658</v>
      </c>
      <c r="CD36" s="17">
        <v>0.87653384354450314</v>
      </c>
      <c r="CE36" s="17">
        <v>0.23769708427311564</v>
      </c>
      <c r="CF36" s="18">
        <v>0.25541493734459186</v>
      </c>
      <c r="CG36" s="18">
        <v>0.42163697711403914</v>
      </c>
      <c r="CH36" s="18">
        <v>0.25532337325943705</v>
      </c>
      <c r="CI36" s="19">
        <v>1.9008899843853122E-4</v>
      </c>
      <c r="CJ36" s="19">
        <v>2.3486310096743068E-7</v>
      </c>
      <c r="CK36" s="19">
        <v>9.6679595434789878E-4</v>
      </c>
      <c r="CL36" s="20">
        <v>1.4757179157335321E-3</v>
      </c>
      <c r="CM36" s="20">
        <v>5.3767747086856943E-3</v>
      </c>
      <c r="CN36" s="20">
        <v>8.7096487388560462E-4</v>
      </c>
      <c r="CS36" s="1">
        <v>28</v>
      </c>
      <c r="CT36" s="15">
        <v>3.9935144480667172E-2</v>
      </c>
      <c r="CU36" s="15">
        <v>0.61760348816014854</v>
      </c>
      <c r="CV36" s="15">
        <v>1.052429634428951</v>
      </c>
      <c r="CW36" s="16">
        <v>0.7113973043942462</v>
      </c>
      <c r="CX36" s="16">
        <v>1.1223573617806073</v>
      </c>
      <c r="CY36" s="16">
        <v>0.10912761966389804</v>
      </c>
      <c r="CZ36" s="17">
        <v>0.89890384332444484</v>
      </c>
      <c r="DA36" s="17">
        <v>0.10144967429763854</v>
      </c>
      <c r="DB36" s="17">
        <v>1.3564412423193963</v>
      </c>
      <c r="DC36" s="18">
        <v>0.5119890318034791</v>
      </c>
      <c r="DD36" s="18">
        <v>0.91212341013069709</v>
      </c>
      <c r="DE36" s="18">
        <v>0.48201368309105097</v>
      </c>
      <c r="DF36" s="19">
        <v>3.6805504879633411E-4</v>
      </c>
      <c r="DG36" s="19">
        <v>2.2226264331592915E-4</v>
      </c>
      <c r="DH36" s="19">
        <v>1.1940882935530528E-3</v>
      </c>
      <c r="DI36" s="20">
        <v>1.6604700561859698E-3</v>
      </c>
      <c r="DJ36" s="20">
        <v>1.5520221895375386E-3</v>
      </c>
      <c r="DK36" s="20">
        <v>3.5090836015719828E-3</v>
      </c>
    </row>
    <row r="37" spans="6:115" ht="15.75" x14ac:dyDescent="0.25">
      <c r="F37" s="1">
        <v>29</v>
      </c>
      <c r="G37" s="15">
        <v>4.7700187841408483E-2</v>
      </c>
      <c r="H37" s="15">
        <v>0.10337661679130623</v>
      </c>
      <c r="I37" s="15">
        <v>4.8650261360127844E-2</v>
      </c>
      <c r="J37" s="16">
        <v>0.15130958686733118</v>
      </c>
      <c r="K37" s="16">
        <v>7.7498908795272936E-2</v>
      </c>
      <c r="L37" s="16">
        <v>0.71897085627081991</v>
      </c>
      <c r="M37" s="17">
        <v>0.96788820612566262</v>
      </c>
      <c r="N37" s="17">
        <v>0.61126908524119372</v>
      </c>
      <c r="O37" s="17">
        <v>0.87441300093469909</v>
      </c>
      <c r="P37" s="18">
        <v>0.39750156534511238</v>
      </c>
      <c r="Q37" s="18">
        <v>0.86147180659421807</v>
      </c>
      <c r="R37" s="18">
        <v>0.37423277969322766</v>
      </c>
      <c r="S37" s="19">
        <v>4.1956152137057062E-4</v>
      </c>
      <c r="T37" s="19">
        <v>9.1065563274717043E-4</v>
      </c>
      <c r="U37" s="19">
        <v>4.2305145819299117E-4</v>
      </c>
      <c r="V37" s="20">
        <v>2.9824037818115823E-4</v>
      </c>
      <c r="W37" s="20">
        <v>6.1716841972736525E-4</v>
      </c>
      <c r="X37" s="20">
        <v>2.9566408954617707E-3</v>
      </c>
      <c r="AC37" s="1">
        <v>29</v>
      </c>
      <c r="AD37" s="15">
        <v>1.8390256318008689E-2</v>
      </c>
      <c r="AE37" s="15">
        <v>0.6391318588156798</v>
      </c>
      <c r="AF37" s="15">
        <v>1.3172729233090814</v>
      </c>
      <c r="AG37" s="16">
        <v>4.6380852103529387E-2</v>
      </c>
      <c r="AH37" s="16">
        <v>0.30648157763293615</v>
      </c>
      <c r="AI37" s="16">
        <v>0.67149461821028433</v>
      </c>
      <c r="AJ37" s="17">
        <v>1.0867152580087807</v>
      </c>
      <c r="AK37" s="17">
        <v>0.70219206179566862</v>
      </c>
      <c r="AL37" s="17">
        <v>0.78003098411659932</v>
      </c>
      <c r="AM37" s="18">
        <v>0.15853669239680002</v>
      </c>
      <c r="AN37" s="18">
        <v>0.33731905818564573</v>
      </c>
      <c r="AO37" s="18">
        <v>5.8462870289344854E-2</v>
      </c>
      <c r="AP37" s="19">
        <v>1.6259976836563439E-4</v>
      </c>
      <c r="AQ37" s="19">
        <v>1.1399689685802625E-3</v>
      </c>
      <c r="AR37" s="19">
        <v>1.8123298622341186E-3</v>
      </c>
      <c r="AS37" s="20">
        <v>7.2287974961837711E-5</v>
      </c>
      <c r="AT37" s="20">
        <v>2.9800588697217467E-3</v>
      </c>
      <c r="AU37" s="20">
        <v>2.4505577018592013E-3</v>
      </c>
      <c r="AZ37" s="1">
        <v>29</v>
      </c>
      <c r="BA37" s="15">
        <v>5.0609522279537633E-2</v>
      </c>
      <c r="BB37" s="15">
        <v>0.75567388147593662</v>
      </c>
      <c r="BC37" s="15">
        <v>1.1005362310180435</v>
      </c>
      <c r="BD37" s="16">
        <v>1.051554333752291</v>
      </c>
      <c r="BE37" s="16">
        <v>1.661937248692972</v>
      </c>
      <c r="BF37" s="16">
        <v>0.30454195757921443</v>
      </c>
      <c r="BG37" s="17">
        <v>0.23757266981267061</v>
      </c>
      <c r="BH37" s="17">
        <v>0.1591158773396833</v>
      </c>
      <c r="BI37" s="17">
        <v>1.4464303837939205</v>
      </c>
      <c r="BJ37" s="18">
        <v>0.53839917318649833</v>
      </c>
      <c r="BK37" s="18">
        <v>1.4998565939783215</v>
      </c>
      <c r="BL37" s="18">
        <v>1.2888078100518041</v>
      </c>
      <c r="BM37" s="19">
        <v>4.5829033330402341E-4</v>
      </c>
      <c r="BN37" s="19">
        <v>6.8986119638170251E-4</v>
      </c>
      <c r="BO37" s="19">
        <v>2.2951356382664434E-3</v>
      </c>
      <c r="BP37" s="20">
        <v>2.4754344140753832E-3</v>
      </c>
      <c r="BQ37" s="20">
        <v>2.9350054166074058E-3</v>
      </c>
      <c r="BR37" s="20">
        <v>3.0481007888454315E-3</v>
      </c>
      <c r="BV37" s="1">
        <v>29</v>
      </c>
      <c r="BW37" s="15">
        <v>2.4820379951323399E-2</v>
      </c>
      <c r="BX37" s="15">
        <v>0.42137868305323223</v>
      </c>
      <c r="BY37" s="15">
        <v>0.7386520220916053</v>
      </c>
      <c r="BZ37" s="16">
        <v>0.52811480899085073</v>
      </c>
      <c r="CA37" s="16">
        <v>1.2454692912293519</v>
      </c>
      <c r="CB37" s="16">
        <v>0.95600178647308764</v>
      </c>
      <c r="CC37" s="17">
        <v>0.93490937281452435</v>
      </c>
      <c r="CD37" s="17">
        <v>0.8661742004525097</v>
      </c>
      <c r="CE37" s="17">
        <v>0.26479523038823577</v>
      </c>
      <c r="CF37" s="18">
        <v>0.30642444384349893</v>
      </c>
      <c r="CG37" s="18">
        <v>0.41524753283188887</v>
      </c>
      <c r="CH37" s="18">
        <v>0.20795368371296519</v>
      </c>
      <c r="CI37" s="19">
        <v>2.2804269069043315E-4</v>
      </c>
      <c r="CJ37" s="19">
        <v>5.1719597216060009E-6</v>
      </c>
      <c r="CK37" s="19">
        <v>9.2504036398399769E-4</v>
      </c>
      <c r="CL37" s="20">
        <v>1.4849115230888277E-3</v>
      </c>
      <c r="CM37" s="20">
        <v>5.361330289974986E-3</v>
      </c>
      <c r="CN37" s="20">
        <v>8.3270951741643007E-4</v>
      </c>
      <c r="CS37" s="1">
        <v>29</v>
      </c>
      <c r="CT37" s="15">
        <v>3.41448317369785E-2</v>
      </c>
      <c r="CU37" s="15">
        <v>0.61811548220815338</v>
      </c>
      <c r="CV37" s="15">
        <v>1.0461630376427187</v>
      </c>
      <c r="CW37" s="16">
        <v>0.73913571779540255</v>
      </c>
      <c r="CX37" s="16">
        <v>1.1429961140277858</v>
      </c>
      <c r="CY37" s="16">
        <v>0.1735199986002596</v>
      </c>
      <c r="CZ37" s="17">
        <v>0.9139191407432008</v>
      </c>
      <c r="DA37" s="17">
        <v>0.10225879231808327</v>
      </c>
      <c r="DB37" s="17">
        <v>1.3658544479374546</v>
      </c>
      <c r="DC37" s="18">
        <v>0.43775425303829335</v>
      </c>
      <c r="DD37" s="18">
        <v>0.91894999743730255</v>
      </c>
      <c r="DE37" s="18">
        <v>0.56339805693820655</v>
      </c>
      <c r="DF37" s="19">
        <v>3.1470789213472461E-4</v>
      </c>
      <c r="DG37" s="19">
        <v>2.2702918898820368E-4</v>
      </c>
      <c r="DH37" s="19">
        <v>1.252464867328773E-3</v>
      </c>
      <c r="DI37" s="20">
        <v>1.7435170715806025E-3</v>
      </c>
      <c r="DJ37" s="20">
        <v>1.613944321457228E-3</v>
      </c>
      <c r="DK37" s="20">
        <v>3.2467895257728419E-3</v>
      </c>
    </row>
    <row r="38" spans="6:115" ht="15.75" x14ac:dyDescent="0.25">
      <c r="F38" s="1">
        <v>30</v>
      </c>
      <c r="G38" s="15">
        <v>4.9638414864664818E-2</v>
      </c>
      <c r="H38" s="15">
        <v>0.10053796623888613</v>
      </c>
      <c r="I38" s="15">
        <v>5.0365119885433157E-2</v>
      </c>
      <c r="J38" s="16">
        <v>0.15087321254621369</v>
      </c>
      <c r="K38" s="16">
        <v>7.2710767736911652E-2</v>
      </c>
      <c r="L38" s="16">
        <v>0.73028694131236105</v>
      </c>
      <c r="M38" s="17">
        <v>1.0073878052115435</v>
      </c>
      <c r="N38" s="17">
        <v>0.61403206699364687</v>
      </c>
      <c r="O38" s="17">
        <v>0.92131476592683881</v>
      </c>
      <c r="P38" s="18">
        <v>0.4136534572056097</v>
      </c>
      <c r="Q38" s="18">
        <v>0.83781638532392089</v>
      </c>
      <c r="R38" s="18">
        <v>0.38742399911871656</v>
      </c>
      <c r="S38" s="19">
        <v>4.3660132883016622E-4</v>
      </c>
      <c r="T38" s="19">
        <v>8.8562449175466629E-4</v>
      </c>
      <c r="U38" s="19">
        <v>4.3795596595597175E-4</v>
      </c>
      <c r="V38" s="20">
        <v>2.9139970629865619E-4</v>
      </c>
      <c r="W38" s="20">
        <v>5.911372079091538E-4</v>
      </c>
      <c r="X38" s="20">
        <v>3.0069602555785613E-3</v>
      </c>
      <c r="AC38" s="1">
        <v>30</v>
      </c>
      <c r="AD38" s="15">
        <v>1.4013956578870968E-2</v>
      </c>
      <c r="AE38" s="15">
        <v>0.63736925065338512</v>
      </c>
      <c r="AF38" s="15">
        <v>1.3281755104163548</v>
      </c>
      <c r="AG38" s="16">
        <v>4.4991791131861275E-2</v>
      </c>
      <c r="AH38" s="16">
        <v>0.30156061461497596</v>
      </c>
      <c r="AI38" s="16">
        <v>0.68059611215926774</v>
      </c>
      <c r="AJ38" s="17">
        <v>1.2101312405523956</v>
      </c>
      <c r="AK38" s="17">
        <v>0.7041043364622781</v>
      </c>
      <c r="AL38" s="17">
        <v>0.9187789057907032</v>
      </c>
      <c r="AM38" s="18">
        <v>0.12080997050763838</v>
      </c>
      <c r="AN38" s="18">
        <v>0.35251395613644837</v>
      </c>
      <c r="AO38" s="18">
        <v>2.540318438206467E-2</v>
      </c>
      <c r="AP38" s="19">
        <v>1.2390073955337311E-4</v>
      </c>
      <c r="AQ38" s="19">
        <v>1.1556301511106428E-3</v>
      </c>
      <c r="AR38" s="19">
        <v>1.7164008394549013E-3</v>
      </c>
      <c r="AS38" s="20">
        <v>7.9999178770329138E-5</v>
      </c>
      <c r="AT38" s="20">
        <v>2.9589662373031844E-3</v>
      </c>
      <c r="AU38" s="20">
        <v>2.4576467583687922E-3</v>
      </c>
      <c r="AZ38" s="1">
        <v>30</v>
      </c>
      <c r="BA38" s="15">
        <v>6.2411379013909175E-2</v>
      </c>
      <c r="BB38" s="15">
        <v>0.76213035725662981</v>
      </c>
      <c r="BC38" s="15">
        <v>1.1334825670596975</v>
      </c>
      <c r="BD38" s="16">
        <v>1.0508595442880317</v>
      </c>
      <c r="BE38" s="16">
        <v>1.5634841258209562</v>
      </c>
      <c r="BF38" s="16">
        <v>0.16803875338122171</v>
      </c>
      <c r="BG38" s="17">
        <v>0.50388192283196187</v>
      </c>
      <c r="BH38" s="17">
        <v>7.2079200501003998E-2</v>
      </c>
      <c r="BI38" s="17">
        <v>1.2925896080953216</v>
      </c>
      <c r="BJ38" s="18">
        <v>0.66395084057348808</v>
      </c>
      <c r="BK38" s="18">
        <v>1.570035678551114</v>
      </c>
      <c r="BL38" s="18">
        <v>0.942004272771235</v>
      </c>
      <c r="BM38" s="19">
        <v>5.650944106514455E-4</v>
      </c>
      <c r="BN38" s="19">
        <v>7.4898110798504725E-4</v>
      </c>
      <c r="BO38" s="19">
        <v>1.9943177417741649E-3</v>
      </c>
      <c r="BP38" s="20">
        <v>2.444224048432031E-3</v>
      </c>
      <c r="BQ38" s="20">
        <v>2.5950592833544617E-3</v>
      </c>
      <c r="BR38" s="20">
        <v>3.6956294197671991E-3</v>
      </c>
      <c r="BV38" s="1">
        <v>30</v>
      </c>
      <c r="BW38" s="15">
        <v>3.6520104128240069E-2</v>
      </c>
      <c r="BX38" s="15">
        <v>0.41749296375743639</v>
      </c>
      <c r="BY38" s="15">
        <v>0.74568297762466818</v>
      </c>
      <c r="BZ38" s="16">
        <v>0.57689447539826089</v>
      </c>
      <c r="CA38" s="16">
        <v>1.2802851303981813</v>
      </c>
      <c r="CB38" s="16">
        <v>0.87667500735599535</v>
      </c>
      <c r="CC38" s="17">
        <v>0.95467082107747614</v>
      </c>
      <c r="CD38" s="17">
        <v>0.82732534559084248</v>
      </c>
      <c r="CE38" s="17">
        <v>0.21918863612812381</v>
      </c>
      <c r="CF38" s="18">
        <v>0.45086548306462365</v>
      </c>
      <c r="CG38" s="18">
        <v>0.36898896978674389</v>
      </c>
      <c r="CH38" s="18">
        <v>0.13546960605238126</v>
      </c>
      <c r="CI38" s="19">
        <v>3.3549723299963752E-4</v>
      </c>
      <c r="CJ38" s="19">
        <v>4.0914168710881604E-5</v>
      </c>
      <c r="CK38" s="19">
        <v>8.6113937590648337E-4</v>
      </c>
      <c r="CL38" s="20">
        <v>1.6471255535431828E-3</v>
      </c>
      <c r="CM38" s="20">
        <v>5.4603652154379123E-3</v>
      </c>
      <c r="CN38" s="20">
        <v>5.0171515186425708E-4</v>
      </c>
      <c r="CS38" s="1">
        <v>30</v>
      </c>
      <c r="CT38" s="15">
        <v>4.2161317259226824E-2</v>
      </c>
      <c r="CU38" s="15">
        <v>0.61737705939402276</v>
      </c>
      <c r="CV38" s="15">
        <v>1.0535848450429586</v>
      </c>
      <c r="CW38" s="16">
        <v>0.69122598959038284</v>
      </c>
      <c r="CX38" s="16">
        <v>1.10820715033858</v>
      </c>
      <c r="CY38" s="16">
        <v>7.5828138281022361E-2</v>
      </c>
      <c r="CZ38" s="17">
        <v>0.9030801000156371</v>
      </c>
      <c r="DA38" s="17">
        <v>7.6634491925161002E-2</v>
      </c>
      <c r="DB38" s="17">
        <v>1.3172381659205181</v>
      </c>
      <c r="DC38" s="18">
        <v>0.54052970845162596</v>
      </c>
      <c r="DD38" s="18">
        <v>0.9091043599155002</v>
      </c>
      <c r="DE38" s="18">
        <v>0.46701094784409264</v>
      </c>
      <c r="DF38" s="19">
        <v>3.8856352163096908E-4</v>
      </c>
      <c r="DG38" s="19">
        <v>2.2015465975577797E-4</v>
      </c>
      <c r="DH38" s="19">
        <v>1.1833261050332444E-3</v>
      </c>
      <c r="DI38" s="20">
        <v>1.6050272869453375E-3</v>
      </c>
      <c r="DJ38" s="20">
        <v>1.5091877277281229E-3</v>
      </c>
      <c r="DK38" s="20">
        <v>3.6368807830796657E-3</v>
      </c>
    </row>
    <row r="39" spans="6:115" ht="15.75" x14ac:dyDescent="0.25">
      <c r="F39" s="1">
        <v>31</v>
      </c>
      <c r="G39" s="15">
        <v>2.9754303951164428E-2</v>
      </c>
      <c r="H39" s="15">
        <v>0.10462566879980051</v>
      </c>
      <c r="I39" s="15">
        <v>8.1930632427606273E-2</v>
      </c>
      <c r="J39" s="16">
        <v>0.17084934630214577</v>
      </c>
      <c r="K39" s="16">
        <v>7.8020159744524697E-2</v>
      </c>
      <c r="L39" s="16">
        <v>0.75607553235513569</v>
      </c>
      <c r="M39" s="17">
        <v>0.7832417703368878</v>
      </c>
      <c r="N39" s="17">
        <v>0.67614628079356331</v>
      </c>
      <c r="O39" s="17">
        <v>0.80481194694181779</v>
      </c>
      <c r="P39" s="18">
        <v>0.24795253292637029</v>
      </c>
      <c r="Q39" s="18">
        <v>0.87188057333172619</v>
      </c>
      <c r="R39" s="18">
        <v>0.63023563405856042</v>
      </c>
      <c r="S39" s="19">
        <v>2.617599899071843E-4</v>
      </c>
      <c r="T39" s="19">
        <v>9.2167018903754894E-4</v>
      </c>
      <c r="U39" s="19">
        <v>7.1221298152024382E-4</v>
      </c>
      <c r="V39" s="20">
        <v>4.0620975564464867E-4</v>
      </c>
      <c r="W39" s="20">
        <v>6.232144666291628E-4</v>
      </c>
      <c r="X39" s="20">
        <v>3.2277078111903061E-3</v>
      </c>
      <c r="AC39" s="1">
        <v>31</v>
      </c>
      <c r="AD39" s="15">
        <v>1.8456030712677877E-2</v>
      </c>
      <c r="AE39" s="15">
        <v>0.63921282000641466</v>
      </c>
      <c r="AF39" s="15">
        <v>1.3211588677255319</v>
      </c>
      <c r="AG39" s="16">
        <v>3.0059040598313085E-2</v>
      </c>
      <c r="AH39" s="16">
        <v>0.31288486986129749</v>
      </c>
      <c r="AI39" s="16">
        <v>0.67910626147804709</v>
      </c>
      <c r="AJ39" s="17">
        <v>1.1711593640796665</v>
      </c>
      <c r="AK39" s="17">
        <v>0.6884162672334232</v>
      </c>
      <c r="AL39" s="17">
        <v>0.84725553925377384</v>
      </c>
      <c r="AM39" s="18">
        <v>0.15910371304047824</v>
      </c>
      <c r="AN39" s="18">
        <v>0.33662111688607815</v>
      </c>
      <c r="AO39" s="18">
        <v>2.8570990162688756E-2</v>
      </c>
      <c r="AP39" s="19">
        <v>1.6318142831484028E-4</v>
      </c>
      <c r="AQ39" s="19">
        <v>1.139249596266656E-3</v>
      </c>
      <c r="AR39" s="19">
        <v>1.7781408811872179E-3</v>
      </c>
      <c r="AS39" s="20">
        <v>2.9965894383421343E-5</v>
      </c>
      <c r="AT39" s="20">
        <v>3.0004737339301979E-3</v>
      </c>
      <c r="AU39" s="20">
        <v>2.4365491859499322E-3</v>
      </c>
      <c r="AZ39" s="1">
        <v>31</v>
      </c>
      <c r="BA39" s="15">
        <v>8.772934156462027E-2</v>
      </c>
      <c r="BB39" s="15">
        <v>0.75609183547281167</v>
      </c>
      <c r="BC39" s="15">
        <v>1.1570404400923071</v>
      </c>
      <c r="BD39" s="16">
        <v>0.87046841724004431</v>
      </c>
      <c r="BE39" s="16">
        <v>1.5578068595594283</v>
      </c>
      <c r="BF39" s="16">
        <v>9.9853567814241206E-2</v>
      </c>
      <c r="BG39" s="17">
        <v>0.70122155159660371</v>
      </c>
      <c r="BH39" s="17">
        <v>0.15421532239827038</v>
      </c>
      <c r="BI39" s="17">
        <v>1.3945732338185282</v>
      </c>
      <c r="BJ39" s="18">
        <v>0.93329086770855219</v>
      </c>
      <c r="BK39" s="18">
        <v>1.5043995722054038</v>
      </c>
      <c r="BL39" s="18">
        <v>0.6940266619016594</v>
      </c>
      <c r="BM39" s="19">
        <v>7.9413114854742783E-4</v>
      </c>
      <c r="BN39" s="19">
        <v>6.936880364007969E-4</v>
      </c>
      <c r="BO39" s="19">
        <v>1.7790986376003959E-3</v>
      </c>
      <c r="BP39" s="20">
        <v>1.9348425301948247E-3</v>
      </c>
      <c r="BQ39" s="20">
        <v>2.5960722507157863E-3</v>
      </c>
      <c r="BR39" s="20">
        <v>4.8066535904986996E-3</v>
      </c>
      <c r="BV39" s="1">
        <v>31</v>
      </c>
      <c r="BW39" s="15">
        <v>2.7810366429609983E-2</v>
      </c>
      <c r="BX39" s="15">
        <v>0.42110056585283856</v>
      </c>
      <c r="BY39" s="15">
        <v>0.7372667335659695</v>
      </c>
      <c r="BZ39" s="16">
        <v>0.5305269244905535</v>
      </c>
      <c r="CA39" s="16">
        <v>1.2358494321054667</v>
      </c>
      <c r="CB39" s="16">
        <v>0.92145184738494668</v>
      </c>
      <c r="CC39" s="17">
        <v>0.9085754900677111</v>
      </c>
      <c r="CD39" s="17">
        <v>0.84517167353635647</v>
      </c>
      <c r="CE39" s="17">
        <v>0.20441105454135619</v>
      </c>
      <c r="CF39" s="18">
        <v>0.34333785715566173</v>
      </c>
      <c r="CG39" s="18">
        <v>0.41193661377964957</v>
      </c>
      <c r="CH39" s="18">
        <v>0.22223500871946383</v>
      </c>
      <c r="CI39" s="19">
        <v>2.5550621027481402E-4</v>
      </c>
      <c r="CJ39" s="19">
        <v>7.7302719604377401E-6</v>
      </c>
      <c r="CK39" s="19">
        <v>9.3762952055598259E-4</v>
      </c>
      <c r="CL39" s="20">
        <v>1.4993731924548559E-3</v>
      </c>
      <c r="CM39" s="20">
        <v>5.3295532910621057E-3</v>
      </c>
      <c r="CN39" s="20">
        <v>7.0554406871059516E-4</v>
      </c>
      <c r="CS39" s="1">
        <v>31</v>
      </c>
      <c r="CT39" s="15">
        <v>4.1743459406595088E-2</v>
      </c>
      <c r="CU39" s="15">
        <v>0.61796615596937365</v>
      </c>
      <c r="CV39" s="15">
        <v>1.0541056919655902</v>
      </c>
      <c r="CW39" s="16">
        <v>0.69686789453386011</v>
      </c>
      <c r="CX39" s="16">
        <v>1.105064371769358</v>
      </c>
      <c r="CY39" s="16">
        <v>8.2470698605499618E-2</v>
      </c>
      <c r="CZ39" s="17">
        <v>0.89943031148377939</v>
      </c>
      <c r="DA39" s="17">
        <v>7.6400705099658489E-2</v>
      </c>
      <c r="DB39" s="17">
        <v>1.3128011667529609</v>
      </c>
      <c r="DC39" s="18">
        <v>0.53517255649486262</v>
      </c>
      <c r="DD39" s="18">
        <v>0.91695898092025374</v>
      </c>
      <c r="DE39" s="18">
        <v>0.4602467020957014</v>
      </c>
      <c r="DF39" s="19">
        <v>3.8471410275353612E-4</v>
      </c>
      <c r="DG39" s="19">
        <v>2.2563899131422538E-4</v>
      </c>
      <c r="DH39" s="19">
        <v>1.1784737017962454E-3</v>
      </c>
      <c r="DI39" s="20">
        <v>1.6200242678534593E-3</v>
      </c>
      <c r="DJ39" s="20">
        <v>1.4977171663004274E-3</v>
      </c>
      <c r="DK39" s="20">
        <v>3.6142028765185907E-3</v>
      </c>
    </row>
    <row r="40" spans="6:115" ht="15.75" x14ac:dyDescent="0.25">
      <c r="F40" s="1">
        <v>32</v>
      </c>
      <c r="G40" s="15">
        <v>5.489152450233814E-2</v>
      </c>
      <c r="H40" s="15">
        <v>9.6105654160527687E-2</v>
      </c>
      <c r="I40" s="15">
        <v>6.668628041603733E-2</v>
      </c>
      <c r="J40" s="16">
        <v>0.275715290744042</v>
      </c>
      <c r="K40" s="16">
        <v>0.10204072191418893</v>
      </c>
      <c r="L40" s="16">
        <v>0.82396345364968959</v>
      </c>
      <c r="M40" s="17">
        <v>0.78706981395207876</v>
      </c>
      <c r="N40" s="17">
        <v>0.69709144500535902</v>
      </c>
      <c r="O40" s="17">
        <v>0.84163262359989044</v>
      </c>
      <c r="P40" s="18">
        <v>0.45742937085281798</v>
      </c>
      <c r="Q40" s="18">
        <v>0.8008804513378045</v>
      </c>
      <c r="R40" s="18">
        <v>0.51297138781567175</v>
      </c>
      <c r="S40" s="19">
        <v>4.8278041009341965E-4</v>
      </c>
      <c r="T40" s="19">
        <v>8.4654333262013104E-4</v>
      </c>
      <c r="U40" s="19">
        <v>5.7978400323333023E-4</v>
      </c>
      <c r="V40" s="20">
        <v>6.3556676205633877E-4</v>
      </c>
      <c r="W40" s="20">
        <v>6.7602586316151115E-4</v>
      </c>
      <c r="X40" s="20">
        <v>3.4318261505593695E-3</v>
      </c>
      <c r="AC40" s="1">
        <v>32</v>
      </c>
      <c r="AD40" s="15">
        <v>1.9177975488631368E-2</v>
      </c>
      <c r="AE40" s="15">
        <v>0.64208448691723274</v>
      </c>
      <c r="AF40" s="15">
        <v>1.3235376172177096</v>
      </c>
      <c r="AG40" s="16">
        <v>6.0218488288872572E-2</v>
      </c>
      <c r="AH40" s="16">
        <v>0.32946587223994406</v>
      </c>
      <c r="AI40" s="16">
        <v>0.60810608895602503</v>
      </c>
      <c r="AJ40" s="17">
        <v>1.0842735371245991</v>
      </c>
      <c r="AK40" s="17">
        <v>0.68843606902535126</v>
      </c>
      <c r="AL40" s="17">
        <v>0.75429577584826646</v>
      </c>
      <c r="AM40" s="18">
        <v>0.16532737490214625</v>
      </c>
      <c r="AN40" s="18">
        <v>0.31186536765501721</v>
      </c>
      <c r="AO40" s="18">
        <v>1.027291714590013E-2</v>
      </c>
      <c r="AP40" s="19">
        <v>1.6956582261162811E-4</v>
      </c>
      <c r="AQ40" s="19">
        <v>1.1137329377225445E-3</v>
      </c>
      <c r="AR40" s="19">
        <v>1.7572110438521806E-3</v>
      </c>
      <c r="AS40" s="20">
        <v>1.0599081147844025E-4</v>
      </c>
      <c r="AT40" s="20">
        <v>3.0617972927338144E-3</v>
      </c>
      <c r="AU40" s="20">
        <v>2.7143407810071851E-3</v>
      </c>
      <c r="AZ40" s="1">
        <v>32</v>
      </c>
      <c r="BA40" s="15">
        <v>6.8751605133654678E-2</v>
      </c>
      <c r="BB40" s="15">
        <v>0.7580035000562827</v>
      </c>
      <c r="BC40" s="15">
        <v>1.1348268659976761</v>
      </c>
      <c r="BD40" s="16">
        <v>1.0366405771562595</v>
      </c>
      <c r="BE40" s="16">
        <v>1.5981135431746822</v>
      </c>
      <c r="BF40" s="16">
        <v>0.13341472267328594</v>
      </c>
      <c r="BG40" s="17">
        <v>0.53343451354906346</v>
      </c>
      <c r="BH40" s="17">
        <v>4.2531845591035816E-2</v>
      </c>
      <c r="BI40" s="17">
        <v>1.392403613034576</v>
      </c>
      <c r="BJ40" s="18">
        <v>0.73140005461327551</v>
      </c>
      <c r="BK40" s="18">
        <v>1.52517853506914</v>
      </c>
      <c r="BL40" s="18">
        <v>0.92785375763460243</v>
      </c>
      <c r="BM40" s="19">
        <v>6.2246159017609326E-4</v>
      </c>
      <c r="BN40" s="19">
        <v>7.11191891642593E-4</v>
      </c>
      <c r="BO40" s="19">
        <v>1.9820393070011377E-3</v>
      </c>
      <c r="BP40" s="20">
        <v>2.3932072201980907E-3</v>
      </c>
      <c r="BQ40" s="20">
        <v>2.7205906412174352E-3</v>
      </c>
      <c r="BR40" s="20">
        <v>3.8327983974223434E-3</v>
      </c>
      <c r="BV40" s="1">
        <v>32</v>
      </c>
      <c r="BW40" s="15">
        <v>3.4488276496589122E-2</v>
      </c>
      <c r="BX40" s="15">
        <v>0.42517369880260186</v>
      </c>
      <c r="BY40" s="15">
        <v>0.75192825150379372</v>
      </c>
      <c r="BZ40" s="16">
        <v>0.59968643135976241</v>
      </c>
      <c r="CA40" s="16">
        <v>1.2848910078255431</v>
      </c>
      <c r="CB40" s="16">
        <v>0.73397594406860212</v>
      </c>
      <c r="CC40" s="17">
        <v>0.91183727989977847</v>
      </c>
      <c r="CD40" s="17">
        <v>0.79424070714435213</v>
      </c>
      <c r="CE40" s="17">
        <v>0.14388444772336764</v>
      </c>
      <c r="CF40" s="18">
        <v>0.42578119131594971</v>
      </c>
      <c r="CG40" s="18">
        <v>0.46042629175302208</v>
      </c>
      <c r="CH40" s="18">
        <v>7.1085339257413838E-2</v>
      </c>
      <c r="CI40" s="19">
        <v>3.1683798904191818E-4</v>
      </c>
      <c r="CJ40" s="19">
        <v>2.9738618864127986E-5</v>
      </c>
      <c r="CK40" s="19">
        <v>8.0437147943923648E-4</v>
      </c>
      <c r="CL40" s="20">
        <v>1.7029006902097299E-3</v>
      </c>
      <c r="CM40" s="20">
        <v>5.500209288334057E-3</v>
      </c>
      <c r="CN40" s="20">
        <v>6.8722078792271546E-5</v>
      </c>
      <c r="CS40" s="1">
        <v>32</v>
      </c>
      <c r="CT40" s="15">
        <v>3.6878277675534456E-2</v>
      </c>
      <c r="CU40" s="15">
        <v>0.61696407983844548</v>
      </c>
      <c r="CV40" s="15">
        <v>1.0439550863057612</v>
      </c>
      <c r="CW40" s="16">
        <v>0.71771194814941397</v>
      </c>
      <c r="CX40" s="16">
        <v>1.1244003356270083</v>
      </c>
      <c r="CY40" s="16">
        <v>0.16383482176662792</v>
      </c>
      <c r="CZ40" s="17">
        <v>0.87701426995540011</v>
      </c>
      <c r="DA40" s="17">
        <v>0.10328711005699809</v>
      </c>
      <c r="DB40" s="17">
        <v>1.3368558763204352</v>
      </c>
      <c r="DC40" s="18">
        <v>0.4727984317375854</v>
      </c>
      <c r="DD40" s="18">
        <v>0.90359796584135921</v>
      </c>
      <c r="DE40" s="18">
        <v>0.5920727496259659</v>
      </c>
      <c r="DF40" s="19">
        <v>3.3989237371512271E-4</v>
      </c>
      <c r="DG40" s="19">
        <v>2.1630996931387703E-4</v>
      </c>
      <c r="DH40" s="19">
        <v>1.2730313087655487E-3</v>
      </c>
      <c r="DI40" s="20">
        <v>1.6837052197591351E-3</v>
      </c>
      <c r="DJ40" s="20">
        <v>1.5602635528703113E-3</v>
      </c>
      <c r="DK40" s="20">
        <v>3.2744553874767268E-3</v>
      </c>
    </row>
    <row r="41" spans="6:115" ht="15.75" x14ac:dyDescent="0.25">
      <c r="F41" s="1">
        <v>33</v>
      </c>
      <c r="G41" s="15">
        <v>4.8839483103469923E-2</v>
      </c>
      <c r="H41" s="15">
        <v>0.10232873646994346</v>
      </c>
      <c r="I41" s="15">
        <v>5.2948054889216112E-2</v>
      </c>
      <c r="J41" s="16">
        <v>0.14685696142944737</v>
      </c>
      <c r="K41" s="16">
        <v>8.3754772917388226E-2</v>
      </c>
      <c r="L41" s="16">
        <v>0.71273977327575078</v>
      </c>
      <c r="M41" s="17">
        <v>0.94945818142158145</v>
      </c>
      <c r="N41" s="17">
        <v>0.60517304721705145</v>
      </c>
      <c r="O41" s="17">
        <v>0.84668942584938656</v>
      </c>
      <c r="P41" s="18">
        <v>0.40699569252898565</v>
      </c>
      <c r="Q41" s="18">
        <v>0.85273947058278776</v>
      </c>
      <c r="R41" s="18">
        <v>0.40729272991707233</v>
      </c>
      <c r="S41" s="19">
        <v>4.2957764780782171E-4</v>
      </c>
      <c r="T41" s="19">
        <v>9.0141528780984792E-4</v>
      </c>
      <c r="U41" s="19">
        <v>4.6040430241345293E-4</v>
      </c>
      <c r="V41" s="20">
        <v>2.8214142033056167E-4</v>
      </c>
      <c r="W41" s="20">
        <v>6.3492534801767864E-4</v>
      </c>
      <c r="X41" s="20">
        <v>2.9490411538160011E-3</v>
      </c>
      <c r="AC41" s="1">
        <v>33</v>
      </c>
      <c r="AD41" s="15">
        <v>3.4434074826427607E-3</v>
      </c>
      <c r="AE41" s="15">
        <v>0.6341255961311647</v>
      </c>
      <c r="AF41" s="15">
        <v>1.3332219081052903</v>
      </c>
      <c r="AG41" s="16">
        <v>5.8190035228753836E-2</v>
      </c>
      <c r="AH41" s="16">
        <v>0.33028475108890898</v>
      </c>
      <c r="AI41" s="16">
        <v>0.61329661751427134</v>
      </c>
      <c r="AJ41" s="17">
        <v>1.2465497145379443</v>
      </c>
      <c r="AK41" s="17">
        <v>0.65122194731796512</v>
      </c>
      <c r="AL41" s="17">
        <v>0.86241219879590936</v>
      </c>
      <c r="AM41" s="18">
        <v>2.9684547264335025E-2</v>
      </c>
      <c r="AN41" s="18">
        <v>0.38047649512106313</v>
      </c>
      <c r="AO41" s="18">
        <v>6.4221628143030784E-2</v>
      </c>
      <c r="AP41" s="19">
        <v>3.0440770346640278E-5</v>
      </c>
      <c r="AQ41" s="19">
        <v>1.1844493221777608E-3</v>
      </c>
      <c r="AR41" s="19">
        <v>1.6719917239158555E-3</v>
      </c>
      <c r="AS41" s="20">
        <v>1.4136518706520107E-4</v>
      </c>
      <c r="AT41" s="20">
        <v>3.0390777158476601E-3</v>
      </c>
      <c r="AU41" s="20">
        <v>2.7316117073070689E-3</v>
      </c>
      <c r="AZ41" s="1">
        <v>33</v>
      </c>
      <c r="BA41" s="15">
        <v>5.988455458499186E-2</v>
      </c>
      <c r="BB41" s="15">
        <v>0.75976415511435003</v>
      </c>
      <c r="BC41" s="15">
        <v>1.122263396398067</v>
      </c>
      <c r="BD41" s="16">
        <v>0.95656680817484563</v>
      </c>
      <c r="BE41" s="16">
        <v>1.701384757249877</v>
      </c>
      <c r="BF41" s="16">
        <v>0.27970054565883151</v>
      </c>
      <c r="BG41" s="17">
        <v>0.36713127220981856</v>
      </c>
      <c r="BH41" s="17">
        <v>2.3715999325882094E-2</v>
      </c>
      <c r="BI41" s="17">
        <v>1.2260315319411026</v>
      </c>
      <c r="BJ41" s="18">
        <v>0.6370697296273985</v>
      </c>
      <c r="BK41" s="18">
        <v>1.5443160900481725</v>
      </c>
      <c r="BL41" s="18">
        <v>1.0601008060515422</v>
      </c>
      <c r="BM41" s="19">
        <v>5.4222935290704211E-4</v>
      </c>
      <c r="BN41" s="19">
        <v>7.2731364853584335E-4</v>
      </c>
      <c r="BO41" s="19">
        <v>2.0967773571100028E-3</v>
      </c>
      <c r="BP41" s="20">
        <v>2.2172521699492802E-3</v>
      </c>
      <c r="BQ41" s="20">
        <v>3.0497795927891813E-3</v>
      </c>
      <c r="BR41" s="20">
        <v>3.2265156294368769E-3</v>
      </c>
      <c r="BV41" s="1">
        <v>33</v>
      </c>
      <c r="BW41" s="15">
        <v>3.5260640758891085E-2</v>
      </c>
      <c r="BX41" s="15">
        <v>0.42047096716381382</v>
      </c>
      <c r="BY41" s="15">
        <v>0.74989750634424346</v>
      </c>
      <c r="BZ41" s="16">
        <v>0.59850022472243825</v>
      </c>
      <c r="CA41" s="16">
        <v>1.2685808069543816</v>
      </c>
      <c r="CB41" s="16">
        <v>0.84862485886483563</v>
      </c>
      <c r="CC41" s="17">
        <v>0.9535592571093604</v>
      </c>
      <c r="CD41" s="17">
        <v>0.84273304442106012</v>
      </c>
      <c r="CE41" s="17">
        <v>0.25763786074793865</v>
      </c>
      <c r="CF41" s="18">
        <v>0.4353165525787821</v>
      </c>
      <c r="CG41" s="18">
        <v>0.40444139129128226</v>
      </c>
      <c r="CH41" s="18">
        <v>9.2020856366166248E-2</v>
      </c>
      <c r="CI41" s="19">
        <v>3.2393106840389319E-4</v>
      </c>
      <c r="CJ41" s="19">
        <v>1.3521698549623373E-5</v>
      </c>
      <c r="CK41" s="19">
        <v>8.2283120249793118E-4</v>
      </c>
      <c r="CL41" s="20">
        <v>1.7017763731674851E-3</v>
      </c>
      <c r="CM41" s="20">
        <v>5.4325285604773788E-3</v>
      </c>
      <c r="CN41" s="20">
        <v>3.7810392310966279E-4</v>
      </c>
      <c r="CS41" s="1">
        <v>33</v>
      </c>
      <c r="CT41" s="15">
        <v>3.539548274936799E-2</v>
      </c>
      <c r="CU41" s="15">
        <v>0.61833248743648805</v>
      </c>
      <c r="CV41" s="15">
        <v>1.0465754286295463</v>
      </c>
      <c r="CW41" s="16">
        <v>0.7207776986008001</v>
      </c>
      <c r="CX41" s="16">
        <v>1.1310490093580896</v>
      </c>
      <c r="CY41" s="16">
        <v>0.1526291975373594</v>
      </c>
      <c r="CZ41" s="17">
        <v>0.87332281465125838</v>
      </c>
      <c r="DA41" s="17">
        <v>0.110416437876748</v>
      </c>
      <c r="DB41" s="17">
        <v>1.3423151858839986</v>
      </c>
      <c r="DC41" s="18">
        <v>0.45378824037654852</v>
      </c>
      <c r="DD41" s="18">
        <v>0.92184340048182789</v>
      </c>
      <c r="DE41" s="18">
        <v>0.5580423298365107</v>
      </c>
      <c r="DF41" s="19">
        <v>3.2623087995442557E-4</v>
      </c>
      <c r="DG41" s="19">
        <v>2.2904947208224335E-4</v>
      </c>
      <c r="DH41" s="19">
        <v>1.2486234603510393E-3</v>
      </c>
      <c r="DI41" s="20">
        <v>1.6949831930503922E-3</v>
      </c>
      <c r="DJ41" s="20">
        <v>1.5765281579005475E-3</v>
      </c>
      <c r="DK41" s="20">
        <v>3.3258294242519693E-3</v>
      </c>
    </row>
    <row r="42" spans="6:115" ht="15.75" x14ac:dyDescent="0.25">
      <c r="F42" s="1">
        <v>34</v>
      </c>
      <c r="G42" s="15">
        <v>4.3357184530403173E-2</v>
      </c>
      <c r="H42" s="15">
        <v>0.10355279704692656</v>
      </c>
      <c r="I42" s="15">
        <v>5.8317355323630637E-2</v>
      </c>
      <c r="J42" s="16">
        <v>0.1598625231199646</v>
      </c>
      <c r="K42" s="16">
        <v>8.1197593588576963E-2</v>
      </c>
      <c r="L42" s="16">
        <v>0.73659908000574026</v>
      </c>
      <c r="M42" s="17">
        <v>0.94477757225159953</v>
      </c>
      <c r="N42" s="17">
        <v>0.61105970594581538</v>
      </c>
      <c r="O42" s="17">
        <v>0.85134372043362705</v>
      </c>
      <c r="P42" s="18">
        <v>0.36130987108669321</v>
      </c>
      <c r="Q42" s="18">
        <v>0.86293997539096168</v>
      </c>
      <c r="R42" s="18">
        <v>0.44859504095097946</v>
      </c>
      <c r="S42" s="19">
        <v>3.81377869161037E-4</v>
      </c>
      <c r="T42" s="19">
        <v>9.1220923218771077E-4</v>
      </c>
      <c r="U42" s="19">
        <v>5.0706528425203956E-4</v>
      </c>
      <c r="V42" s="20">
        <v>3.3537423821050627E-4</v>
      </c>
      <c r="W42" s="20">
        <v>6.3038610128085537E-4</v>
      </c>
      <c r="X42" s="20">
        <v>3.0618608521300055E-3</v>
      </c>
      <c r="AC42" s="1">
        <v>34</v>
      </c>
      <c r="AD42" s="15">
        <v>2.3793699968909007E-2</v>
      </c>
      <c r="AE42" s="15">
        <v>0.64024868117494083</v>
      </c>
      <c r="AF42" s="15">
        <v>1.3149359034918429</v>
      </c>
      <c r="AG42" s="16">
        <v>1.6015932868005532E-2</v>
      </c>
      <c r="AH42" s="16">
        <v>0.30358158526758161</v>
      </c>
      <c r="AI42" s="16">
        <v>0.70941023880220633</v>
      </c>
      <c r="AJ42" s="17">
        <v>1.1193296276345155</v>
      </c>
      <c r="AK42" s="17">
        <v>0.71537135873997437</v>
      </c>
      <c r="AL42" s="17">
        <v>0.83866531696642832</v>
      </c>
      <c r="AM42" s="18">
        <v>0.20511810318046678</v>
      </c>
      <c r="AN42" s="18">
        <v>0.3276912792264855</v>
      </c>
      <c r="AO42" s="18">
        <v>7.6439945806488524E-2</v>
      </c>
      <c r="AP42" s="19">
        <v>2.1038636642622954E-4</v>
      </c>
      <c r="AQ42" s="19">
        <v>1.1300454551891324E-3</v>
      </c>
      <c r="AR42" s="19">
        <v>1.8328899318735823E-3</v>
      </c>
      <c r="AS42" s="20">
        <v>2.0088037530285874E-5</v>
      </c>
      <c r="AT42" s="20">
        <v>2.9744787952655782E-3</v>
      </c>
      <c r="AU42" s="20">
        <v>2.2980997547163979E-3</v>
      </c>
      <c r="AZ42" s="1">
        <v>34</v>
      </c>
      <c r="BA42" s="15">
        <v>4.8081737473046095E-2</v>
      </c>
      <c r="BB42" s="15">
        <v>0.76553461595131711</v>
      </c>
      <c r="BC42" s="15">
        <v>1.1207797961047776</v>
      </c>
      <c r="BD42" s="16">
        <v>0.98565287590977479</v>
      </c>
      <c r="BE42" s="16">
        <v>1.6565925500569365</v>
      </c>
      <c r="BF42" s="16">
        <v>0.15446120280310666</v>
      </c>
      <c r="BG42" s="17">
        <v>0.38543047734750618</v>
      </c>
      <c r="BH42" s="17">
        <v>7.6788013743196335E-4</v>
      </c>
      <c r="BI42" s="17">
        <v>1.3129156139697615</v>
      </c>
      <c r="BJ42" s="18">
        <v>0.51150784545782091</v>
      </c>
      <c r="BK42" s="18">
        <v>1.6070384904500086</v>
      </c>
      <c r="BL42" s="18">
        <v>1.0757176512441333</v>
      </c>
      <c r="BM42" s="19">
        <v>4.3541118824108604E-4</v>
      </c>
      <c r="BN42" s="19">
        <v>7.80155928227666E-4</v>
      </c>
      <c r="BO42" s="19">
        <v>2.1103246674868399E-3</v>
      </c>
      <c r="BP42" s="20">
        <v>2.3186843641123112E-3</v>
      </c>
      <c r="BQ42" s="20">
        <v>2.8859910250002008E-3</v>
      </c>
      <c r="BR42" s="20">
        <v>3.6984913925051099E-3</v>
      </c>
      <c r="BV42" s="1">
        <v>34</v>
      </c>
      <c r="BW42" s="15">
        <v>2.5881911421930446E-2</v>
      </c>
      <c r="BX42" s="15">
        <v>0.42389720717862467</v>
      </c>
      <c r="BY42" s="15">
        <v>0.74081889892629293</v>
      </c>
      <c r="BZ42" s="16">
        <v>0.53213186998600137</v>
      </c>
      <c r="CA42" s="16">
        <v>1.2614558503348139</v>
      </c>
      <c r="CB42" s="16">
        <v>0.87708846621104442</v>
      </c>
      <c r="CC42" s="17">
        <v>0.84227294319807833</v>
      </c>
      <c r="CD42" s="17">
        <v>0.87074685270983854</v>
      </c>
      <c r="CE42" s="17">
        <v>0.18603267211297958</v>
      </c>
      <c r="CF42" s="18">
        <v>0.31952977064103077</v>
      </c>
      <c r="CG42" s="18">
        <v>0.44522996289608452</v>
      </c>
      <c r="CH42" s="18">
        <v>0.18561474727274527</v>
      </c>
      <c r="CI42" s="19">
        <v>2.377932205368527E-4</v>
      </c>
      <c r="CJ42" s="19">
        <v>1.7995798489933712E-5</v>
      </c>
      <c r="CK42" s="19">
        <v>9.0534762310601202E-4</v>
      </c>
      <c r="CL42" s="20">
        <v>1.4985333742892903E-3</v>
      </c>
      <c r="CM42" s="20">
        <v>5.4208465957727991E-3</v>
      </c>
      <c r="CN42" s="20">
        <v>5.2191438523763178E-4</v>
      </c>
      <c r="CS42" s="1">
        <v>34</v>
      </c>
      <c r="CT42" s="15">
        <v>4.1511504815673977E-2</v>
      </c>
      <c r="CU42" s="15">
        <v>0.61722888161054934</v>
      </c>
      <c r="CV42" s="15">
        <v>1.0540697767892862</v>
      </c>
      <c r="CW42" s="16">
        <v>0.70661280559241701</v>
      </c>
      <c r="CX42" s="16">
        <v>1.1145368573221275</v>
      </c>
      <c r="CY42" s="16">
        <v>8.805654947183443E-2</v>
      </c>
      <c r="CZ42" s="17">
        <v>0.94509264485095212</v>
      </c>
      <c r="DA42" s="17">
        <v>6.8672911744451226E-2</v>
      </c>
      <c r="DB42" s="17">
        <v>1.3453013412597119</v>
      </c>
      <c r="DC42" s="18">
        <v>0.53219877968814577</v>
      </c>
      <c r="DD42" s="18">
        <v>0.90712865613592919</v>
      </c>
      <c r="DE42" s="18">
        <v>0.46071313295686461</v>
      </c>
      <c r="DF42" s="19">
        <v>3.8257726082246979E-4</v>
      </c>
      <c r="DG42" s="19">
        <v>2.1877517445667571E-4</v>
      </c>
      <c r="DH42" s="19">
        <v>1.1788083025480178E-3</v>
      </c>
      <c r="DI42" s="20">
        <v>1.6447084627153608E-3</v>
      </c>
      <c r="DJ42" s="20">
        <v>1.5291119314350121E-3</v>
      </c>
      <c r="DK42" s="20">
        <v>3.5933573846758105E-3</v>
      </c>
    </row>
    <row r="43" spans="6:115" ht="15.75" x14ac:dyDescent="0.25">
      <c r="F43" s="1">
        <v>35</v>
      </c>
      <c r="G43" s="15">
        <v>3.5982784968981531E-2</v>
      </c>
      <c r="H43" s="15">
        <v>0.10557948568682252</v>
      </c>
      <c r="I43" s="15">
        <v>6.2125054031186205E-2</v>
      </c>
      <c r="J43" s="16">
        <v>0.19807741988530977</v>
      </c>
      <c r="K43" s="16">
        <v>7.4938645020235214E-2</v>
      </c>
      <c r="L43" s="16">
        <v>0.77690588450281206</v>
      </c>
      <c r="M43" s="17">
        <v>0.91090963630329724</v>
      </c>
      <c r="N43" s="17">
        <v>0.64012213840908672</v>
      </c>
      <c r="O43" s="17">
        <v>0.86170364488793383</v>
      </c>
      <c r="P43" s="18">
        <v>0.29985654140820728</v>
      </c>
      <c r="Q43" s="18">
        <v>0.87982904739007595</v>
      </c>
      <c r="R43" s="18">
        <v>0.47788503100913732</v>
      </c>
      <c r="S43" s="19">
        <v>3.165346097590005E-4</v>
      </c>
      <c r="T43" s="19">
        <v>9.300814492545495E-4</v>
      </c>
      <c r="U43" s="19">
        <v>5.4015240010096843E-4</v>
      </c>
      <c r="V43" s="20">
        <v>4.6663411861369575E-4</v>
      </c>
      <c r="W43" s="20">
        <v>6.1596296816834883E-4</v>
      </c>
      <c r="X43" s="20">
        <v>3.2323121968066415E-3</v>
      </c>
      <c r="AC43" s="1">
        <v>35</v>
      </c>
      <c r="AD43" s="15">
        <v>1.7552933220447996E-2</v>
      </c>
      <c r="AE43" s="15">
        <v>0.64245775528397142</v>
      </c>
      <c r="AF43" s="15">
        <v>1.323595525599105</v>
      </c>
      <c r="AG43" s="16">
        <v>4.3423595073548607E-2</v>
      </c>
      <c r="AH43" s="16">
        <v>0.33213894401324467</v>
      </c>
      <c r="AI43" s="16">
        <v>0.63847441751103429</v>
      </c>
      <c r="AJ43" s="17">
        <v>1.1063490898729471</v>
      </c>
      <c r="AK43" s="17">
        <v>0.69613760114170675</v>
      </c>
      <c r="AL43" s="17">
        <v>0.80698671467521321</v>
      </c>
      <c r="AM43" s="18">
        <v>0.15131838983157828</v>
      </c>
      <c r="AN43" s="18">
        <v>0.30864753690727054</v>
      </c>
      <c r="AO43" s="18">
        <v>9.8274680583188001E-3</v>
      </c>
      <c r="AP43" s="19">
        <v>1.5519517097373206E-4</v>
      </c>
      <c r="AQ43" s="19">
        <v>1.1104160932488003E-3</v>
      </c>
      <c r="AR43" s="19">
        <v>1.7567015143974405E-3</v>
      </c>
      <c r="AS43" s="20">
        <v>6.6812562195317518E-5</v>
      </c>
      <c r="AT43" s="20">
        <v>3.0713984332401134E-3</v>
      </c>
      <c r="AU43" s="20">
        <v>2.5996383950018798E-3</v>
      </c>
      <c r="AZ43" s="1">
        <v>35</v>
      </c>
      <c r="BA43" s="15">
        <v>6.0878739852307635E-2</v>
      </c>
      <c r="BB43" s="15">
        <v>0.76651502378094061</v>
      </c>
      <c r="BC43" s="15">
        <v>1.1416590562143889</v>
      </c>
      <c r="BD43" s="16">
        <v>1.0600172230508402</v>
      </c>
      <c r="BE43" s="16">
        <v>1.629879537128329</v>
      </c>
      <c r="BF43" s="16">
        <v>0.33000547073105374</v>
      </c>
      <c r="BG43" s="17">
        <v>0.27364742820068011</v>
      </c>
      <c r="BH43" s="17">
        <v>6.8105845705550103E-2</v>
      </c>
      <c r="BI43" s="17">
        <v>1.2945939327727953</v>
      </c>
      <c r="BJ43" s="18">
        <v>0.64764616864145452</v>
      </c>
      <c r="BK43" s="18">
        <v>1.6176950972936619</v>
      </c>
      <c r="BL43" s="18">
        <v>0.85593596587974619</v>
      </c>
      <c r="BM43" s="19">
        <v>5.5122580373867514E-4</v>
      </c>
      <c r="BN43" s="19">
        <v>7.8913450214845849E-4</v>
      </c>
      <c r="BO43" s="19">
        <v>1.9196309111322307E-3</v>
      </c>
      <c r="BP43" s="20">
        <v>2.470711051983931E-3</v>
      </c>
      <c r="BQ43" s="20">
        <v>2.7962227025151169E-3</v>
      </c>
      <c r="BR43" s="20">
        <v>3.1091537528346036E-3</v>
      </c>
      <c r="BV43" s="1">
        <v>35</v>
      </c>
      <c r="BW43" s="15">
        <v>2.8205645796983946E-2</v>
      </c>
      <c r="BX43" s="15">
        <v>0.42294268820083231</v>
      </c>
      <c r="BY43" s="15">
        <v>0.74266334817642288</v>
      </c>
      <c r="BZ43" s="16">
        <v>0.56379459264035459</v>
      </c>
      <c r="CA43" s="16">
        <v>1.2565703326752959</v>
      </c>
      <c r="CB43" s="16">
        <v>0.87225388757196876</v>
      </c>
      <c r="CC43" s="17">
        <v>0.86750720385429103</v>
      </c>
      <c r="CD43" s="17">
        <v>0.85353480142624627</v>
      </c>
      <c r="CE43" s="17">
        <v>0.17981113721098604</v>
      </c>
      <c r="CF43" s="18">
        <v>0.34821784934549815</v>
      </c>
      <c r="CG43" s="18">
        <v>0.43386664173191131</v>
      </c>
      <c r="CH43" s="18">
        <v>0.16659980654982706</v>
      </c>
      <c r="CI43" s="19">
        <v>2.5913679366817988E-4</v>
      </c>
      <c r="CJ43" s="19">
        <v>9.2150955389724842E-6</v>
      </c>
      <c r="CK43" s="19">
        <v>8.8858445112049989E-4</v>
      </c>
      <c r="CL43" s="20">
        <v>1.5897602671187672E-3</v>
      </c>
      <c r="CM43" s="20">
        <v>5.4020551640940884E-3</v>
      </c>
      <c r="CN43" s="20">
        <v>4.9632933369714305E-4</v>
      </c>
      <c r="CS43" s="1">
        <v>35</v>
      </c>
      <c r="CT43" s="15">
        <v>3.993792745127784E-2</v>
      </c>
      <c r="CU43" s="15">
        <v>0.61770827529330641</v>
      </c>
      <c r="CV43" s="15">
        <v>1.0524352012687626</v>
      </c>
      <c r="CW43" s="16">
        <v>0.69833297722232102</v>
      </c>
      <c r="CX43" s="16">
        <v>1.1199123878971091</v>
      </c>
      <c r="CY43" s="16">
        <v>8.7224771435573042E-2</v>
      </c>
      <c r="CZ43" s="17">
        <v>0.91219257813132326</v>
      </c>
      <c r="DA43" s="17">
        <v>8.0757992426904027E-2</v>
      </c>
      <c r="DB43" s="17">
        <v>1.3312829613132939</v>
      </c>
      <c r="DC43" s="18">
        <v>0.51202471091383639</v>
      </c>
      <c r="DD43" s="18">
        <v>0.91352057190607372</v>
      </c>
      <c r="DE43" s="18">
        <v>0.48194138647008611</v>
      </c>
      <c r="DF43" s="19">
        <v>3.6808068730298515E-4</v>
      </c>
      <c r="DG43" s="19">
        <v>2.2323818319081035E-4</v>
      </c>
      <c r="DH43" s="19">
        <v>1.1940364322883257E-3</v>
      </c>
      <c r="DI43" s="20">
        <v>1.628144352319616E-3</v>
      </c>
      <c r="DJ43" s="20">
        <v>1.5441804093763167E-3</v>
      </c>
      <c r="DK43" s="20">
        <v>3.5903216154361539E-3</v>
      </c>
    </row>
    <row r="44" spans="6:115" ht="15.75" x14ac:dyDescent="0.25">
      <c r="F44" s="1">
        <v>36</v>
      </c>
      <c r="G44" s="15">
        <v>5.0743205225448042E-2</v>
      </c>
      <c r="H44" s="15">
        <v>0.10335311001343264</v>
      </c>
      <c r="I44" s="15">
        <v>5.0705895644180141E-2</v>
      </c>
      <c r="J44" s="16">
        <v>0.1333775592288019</v>
      </c>
      <c r="K44" s="16">
        <v>8.9141837824541797E-2</v>
      </c>
      <c r="L44" s="16">
        <v>0.69643220707034625</v>
      </c>
      <c r="M44" s="17">
        <v>0.93465445032429439</v>
      </c>
      <c r="N44" s="17">
        <v>0.5950584611761065</v>
      </c>
      <c r="O44" s="17">
        <v>0.81659088294684246</v>
      </c>
      <c r="P44" s="18">
        <v>0.42286004354542817</v>
      </c>
      <c r="Q44" s="18">
        <v>0.8612759167784938</v>
      </c>
      <c r="R44" s="18">
        <v>0.39004535110909067</v>
      </c>
      <c r="S44" s="19">
        <v>4.463137320909194E-4</v>
      </c>
      <c r="T44" s="19">
        <v>9.1044834479758762E-4</v>
      </c>
      <c r="U44" s="19">
        <v>4.4091772082499592E-4</v>
      </c>
      <c r="V44" s="20">
        <v>2.3785834516587556E-4</v>
      </c>
      <c r="W44" s="20">
        <v>6.5679971228382872E-4</v>
      </c>
      <c r="X44" s="20">
        <v>2.8774166725282768E-3</v>
      </c>
      <c r="AC44" s="1">
        <v>36</v>
      </c>
      <c r="AD44" s="15">
        <v>2.302057579532666E-2</v>
      </c>
      <c r="AE44" s="15">
        <v>0.6418342799133957</v>
      </c>
      <c r="AF44" s="15">
        <v>1.3148100366950757</v>
      </c>
      <c r="AG44" s="16">
        <v>2.4882769835032958E-2</v>
      </c>
      <c r="AH44" s="16">
        <v>0.31190064260022954</v>
      </c>
      <c r="AI44" s="16">
        <v>0.68353367397428211</v>
      </c>
      <c r="AJ44" s="17">
        <v>1.0508051722389842</v>
      </c>
      <c r="AK44" s="17">
        <v>0.70772797072848337</v>
      </c>
      <c r="AL44" s="17">
        <v>0.75142365535727962</v>
      </c>
      <c r="AM44" s="18">
        <v>0.19845323961499342</v>
      </c>
      <c r="AN44" s="18">
        <v>0.31402232458458945</v>
      </c>
      <c r="AO44" s="18">
        <v>7.7408151935562414E-2</v>
      </c>
      <c r="AP44" s="19">
        <v>2.0354874812478219E-4</v>
      </c>
      <c r="AQ44" s="19">
        <v>1.1159562509853727E-3</v>
      </c>
      <c r="AR44" s="19">
        <v>1.8339972248041514E-3</v>
      </c>
      <c r="AS44" s="20">
        <v>4.8095312902285423E-6</v>
      </c>
      <c r="AT44" s="20">
        <v>3.0057069086351085E-3</v>
      </c>
      <c r="AU44" s="20">
        <v>2.395596404736744E-3</v>
      </c>
      <c r="AZ44" s="1">
        <v>36</v>
      </c>
      <c r="BA44" s="15">
        <v>7.3281789391005894E-2</v>
      </c>
      <c r="BB44" s="15">
        <v>0.75645181898178904</v>
      </c>
      <c r="BC44" s="15">
        <v>1.1368865384928646</v>
      </c>
      <c r="BD44" s="16">
        <v>0.92466718219169997</v>
      </c>
      <c r="BE44" s="16">
        <v>1.6268954338082235</v>
      </c>
      <c r="BF44" s="16">
        <v>6.0517884390041535E-2</v>
      </c>
      <c r="BG44" s="17">
        <v>0.58534340020711895</v>
      </c>
      <c r="BH44" s="17">
        <v>8.3960115626669315E-2</v>
      </c>
      <c r="BI44" s="17">
        <v>1.3830730640035684</v>
      </c>
      <c r="BJ44" s="18">
        <v>0.77959350415965267</v>
      </c>
      <c r="BK44" s="18">
        <v>1.5083124364332587</v>
      </c>
      <c r="BL44" s="18">
        <v>0.90617299452731337</v>
      </c>
      <c r="BM44" s="19">
        <v>6.6344682617647255E-4</v>
      </c>
      <c r="BN44" s="19">
        <v>6.9698411708707386E-4</v>
      </c>
      <c r="BO44" s="19">
        <v>1.9632262108808525E-3</v>
      </c>
      <c r="BP44" s="20">
        <v>2.1049114399601661E-3</v>
      </c>
      <c r="BQ44" s="20">
        <v>2.8188901327060867E-3</v>
      </c>
      <c r="BR44" s="20">
        <v>4.11850328479757E-3</v>
      </c>
      <c r="BV44" s="1">
        <v>36</v>
      </c>
      <c r="BW44" s="15">
        <v>1.7191464241489547E-2</v>
      </c>
      <c r="BX44" s="15">
        <v>0.42203545895721073</v>
      </c>
      <c r="BY44" s="15">
        <v>0.73103473451648948</v>
      </c>
      <c r="BZ44" s="16">
        <v>0.48892341393675148</v>
      </c>
      <c r="CA44" s="16">
        <v>1.2247571214594286</v>
      </c>
      <c r="CB44" s="16">
        <v>1.0470636288879394</v>
      </c>
      <c r="CC44" s="17">
        <v>0.90508025107226453</v>
      </c>
      <c r="CD44" s="17">
        <v>0.88104788088297981</v>
      </c>
      <c r="CE44" s="17">
        <v>0.24404030393188272</v>
      </c>
      <c r="CF44" s="18">
        <v>0.2122402992776144</v>
      </c>
      <c r="CG44" s="18">
        <v>0.42306629359358205</v>
      </c>
      <c r="CH44" s="18">
        <v>0.28648242160070025</v>
      </c>
      <c r="CI44" s="19">
        <v>1.5796240032972531E-4</v>
      </c>
      <c r="CJ44" s="19">
        <v>8.6957099254547643E-7</v>
      </c>
      <c r="CK44" s="19">
        <v>9.9426002758662424E-4</v>
      </c>
      <c r="CL44" s="20">
        <v>1.3592858823173737E-3</v>
      </c>
      <c r="CM44" s="20">
        <v>5.2970073731032352E-3</v>
      </c>
      <c r="CN44" s="20">
        <v>1.2111621859233201E-3</v>
      </c>
      <c r="CS44" s="1">
        <v>36</v>
      </c>
      <c r="CT44" s="15">
        <v>4.1411167920569689E-2</v>
      </c>
      <c r="CU44" s="15">
        <v>0.61755659135380603</v>
      </c>
      <c r="CV44" s="15">
        <v>1.0533851140834838</v>
      </c>
      <c r="CW44" s="16">
        <v>0.68920475508987777</v>
      </c>
      <c r="CX44" s="16">
        <v>1.1107130021280296</v>
      </c>
      <c r="CY44" s="16">
        <v>7.2827073463934716E-2</v>
      </c>
      <c r="CZ44" s="17">
        <v>0.9127151920190727</v>
      </c>
      <c r="DA44" s="17">
        <v>7.4231168205450435E-2</v>
      </c>
      <c r="DB44" s="17">
        <v>1.3230522430443126</v>
      </c>
      <c r="DC44" s="18">
        <v>0.53091240923801908</v>
      </c>
      <c r="DD44" s="18">
        <v>0.91149811937956371</v>
      </c>
      <c r="DE44" s="18">
        <v>0.46960485640887795</v>
      </c>
      <c r="DF44" s="19">
        <v>3.8165292129554995E-4</v>
      </c>
      <c r="DG44" s="19">
        <v>2.2182604739628964E-4</v>
      </c>
      <c r="DH44" s="19">
        <v>1.1851868592283044E-3</v>
      </c>
      <c r="DI44" s="20">
        <v>1.6018949948181094E-3</v>
      </c>
      <c r="DJ44" s="20">
        <v>1.5163463862479798E-3</v>
      </c>
      <c r="DK44" s="20">
        <v>3.6472593629794936E-3</v>
      </c>
    </row>
    <row r="45" spans="6:115" ht="15.75" x14ac:dyDescent="0.25">
      <c r="F45" s="1">
        <v>37</v>
      </c>
      <c r="G45" s="15">
        <v>3.1692235006018261E-2</v>
      </c>
      <c r="H45" s="15">
        <v>0.10622656509313511</v>
      </c>
      <c r="I45" s="15">
        <v>6.7388585050509847E-2</v>
      </c>
      <c r="J45" s="16">
        <v>9.67291652022816E-2</v>
      </c>
      <c r="K45" s="16">
        <v>1.6071044768399918E-3</v>
      </c>
      <c r="L45" s="16">
        <v>0.83448140005521299</v>
      </c>
      <c r="M45" s="17">
        <v>0.91388501093424002</v>
      </c>
      <c r="N45" s="17">
        <v>0.64439189381699147</v>
      </c>
      <c r="O45" s="17">
        <v>0.87365470993246308</v>
      </c>
      <c r="P45" s="18">
        <v>0.26410195838344386</v>
      </c>
      <c r="Q45" s="18">
        <v>0.88522137577612559</v>
      </c>
      <c r="R45" s="18">
        <v>0.51837373115780605</v>
      </c>
      <c r="S45" s="19">
        <v>2.7880330905305506E-4</v>
      </c>
      <c r="T45" s="19">
        <v>9.3578782808589889E-4</v>
      </c>
      <c r="U45" s="19">
        <v>5.858858697418422E-4</v>
      </c>
      <c r="V45" s="20">
        <v>1.8724212946652496E-4</v>
      </c>
      <c r="W45" s="20">
        <v>3.6800569289663354E-4</v>
      </c>
      <c r="X45" s="20">
        <v>3.4752141488102462E-3</v>
      </c>
      <c r="AC45" s="1">
        <v>37</v>
      </c>
      <c r="AD45" s="15">
        <v>1.8755727217087407E-2</v>
      </c>
      <c r="AE45" s="15">
        <v>0.64115310166799422</v>
      </c>
      <c r="AF45" s="15">
        <v>1.3169309087122447</v>
      </c>
      <c r="AG45" s="16">
        <v>1.7158705621650696E-2</v>
      </c>
      <c r="AH45" s="16">
        <v>0.3169961951703425</v>
      </c>
      <c r="AI45" s="16">
        <v>0.68649077077797993</v>
      </c>
      <c r="AJ45" s="17">
        <v>1.0557164348318444</v>
      </c>
      <c r="AK45" s="17">
        <v>0.69698151141375775</v>
      </c>
      <c r="AL45" s="17">
        <v>0.74111869500156935</v>
      </c>
      <c r="AM45" s="18">
        <v>0.16168730359577613</v>
      </c>
      <c r="AN45" s="18">
        <v>0.31989455083806506</v>
      </c>
      <c r="AO45" s="18">
        <v>6.1093751803417487E-2</v>
      </c>
      <c r="AP45" s="19">
        <v>1.6583173154649522E-4</v>
      </c>
      <c r="AQ45" s="19">
        <v>1.122009072878849E-3</v>
      </c>
      <c r="AR45" s="19">
        <v>1.8153388166446405E-3</v>
      </c>
      <c r="AS45" s="20">
        <v>4.124493147461549E-6</v>
      </c>
      <c r="AT45" s="20">
        <v>3.0195828212836728E-3</v>
      </c>
      <c r="AU45" s="20">
        <v>2.3924818077316612E-3</v>
      </c>
      <c r="AZ45" s="1">
        <v>37</v>
      </c>
      <c r="BA45" s="15">
        <v>7.1403161630823178E-2</v>
      </c>
      <c r="BB45" s="15">
        <v>0.75897968635314239</v>
      </c>
      <c r="BC45" s="15">
        <v>1.1387609112393016</v>
      </c>
      <c r="BD45" s="16">
        <v>1.0343108303178381</v>
      </c>
      <c r="BE45" s="16">
        <v>1.6318594090952094</v>
      </c>
      <c r="BF45" s="16">
        <v>0.31199198829404573</v>
      </c>
      <c r="BG45" s="17">
        <v>0.41285124550198454</v>
      </c>
      <c r="BH45" s="17">
        <v>2.3338864403214553E-2</v>
      </c>
      <c r="BI45" s="17">
        <v>1.2681942934150729</v>
      </c>
      <c r="BJ45" s="18">
        <v>0.75960810245547894</v>
      </c>
      <c r="BK45" s="18">
        <v>1.5357892556872195</v>
      </c>
      <c r="BL45" s="18">
        <v>0.88644275509124926</v>
      </c>
      <c r="BM45" s="19">
        <v>6.4645105788130319E-4</v>
      </c>
      <c r="BN45" s="19">
        <v>7.2013044759977607E-4</v>
      </c>
      <c r="BO45" s="19">
        <v>1.9461049656545049E-3</v>
      </c>
      <c r="BP45" s="20">
        <v>2.380820898819747E-3</v>
      </c>
      <c r="BQ45" s="20">
        <v>2.8268604666729091E-3</v>
      </c>
      <c r="BR45" s="20">
        <v>3.166766121379228E-3</v>
      </c>
      <c r="BV45" s="1">
        <v>37</v>
      </c>
      <c r="BW45" s="15">
        <v>2.1256408993806947E-2</v>
      </c>
      <c r="BX45" s="15">
        <v>0.42258769135944058</v>
      </c>
      <c r="BY45" s="15">
        <v>0.73361292961400393</v>
      </c>
      <c r="BZ45" s="16">
        <v>0.51998189668489536</v>
      </c>
      <c r="CA45" s="16">
        <v>1.2344940130035098</v>
      </c>
      <c r="CB45" s="16">
        <v>0.95927597449961444</v>
      </c>
      <c r="CC45" s="17">
        <v>0.87447826764403047</v>
      </c>
      <c r="CD45" s="17">
        <v>0.86983795227504357</v>
      </c>
      <c r="CE45" s="17">
        <v>0.20524361636923383</v>
      </c>
      <c r="CF45" s="18">
        <v>0.26242480239257526</v>
      </c>
      <c r="CG45" s="18">
        <v>0.42964048885833306</v>
      </c>
      <c r="CH45" s="18">
        <v>0.2599030906983622</v>
      </c>
      <c r="CI45" s="19">
        <v>1.9530488384822409E-4</v>
      </c>
      <c r="CJ45" s="19">
        <v>5.9494917187263852E-6</v>
      </c>
      <c r="CK45" s="19">
        <v>9.7083269387021609E-4</v>
      </c>
      <c r="CL45" s="20">
        <v>1.4535531237754862E-3</v>
      </c>
      <c r="CM45" s="20">
        <v>5.3300553499401326E-3</v>
      </c>
      <c r="CN45" s="20">
        <v>8.6454466883800762E-4</v>
      </c>
      <c r="CS45" s="1">
        <v>37</v>
      </c>
      <c r="CT45" s="15">
        <v>3.8202809006836369E-2</v>
      </c>
      <c r="CU45" s="15">
        <v>0.61833679538533881</v>
      </c>
      <c r="CV45" s="15">
        <v>1.0507268358572506</v>
      </c>
      <c r="CW45" s="16">
        <v>0.70782978209944991</v>
      </c>
      <c r="CX45" s="16">
        <v>1.1122435309314653</v>
      </c>
      <c r="CY45" s="16">
        <v>9.0761357127727177E-2</v>
      </c>
      <c r="CZ45" s="17">
        <v>0.89971615286536544</v>
      </c>
      <c r="DA45" s="17">
        <v>8.0944666689943712E-2</v>
      </c>
      <c r="DB45" s="17">
        <v>1.3177492700345794</v>
      </c>
      <c r="DC45" s="18">
        <v>0.48977960265189169</v>
      </c>
      <c r="DD45" s="18">
        <v>0.92190083979970161</v>
      </c>
      <c r="DE45" s="18">
        <v>0.50412795025593737</v>
      </c>
      <c r="DF45" s="19">
        <v>3.5209538871416868E-4</v>
      </c>
      <c r="DG45" s="19">
        <v>2.2908957846901057E-4</v>
      </c>
      <c r="DH45" s="19">
        <v>1.2099514701044978E-3</v>
      </c>
      <c r="DI45" s="20">
        <v>1.6559587955836674E-3</v>
      </c>
      <c r="DJ45" s="20">
        <v>1.5186663738854245E-3</v>
      </c>
      <c r="DK45" s="20">
        <v>3.5708126263606088E-3</v>
      </c>
    </row>
    <row r="46" spans="6:115" ht="15.75" x14ac:dyDescent="0.25">
      <c r="F46" s="1">
        <v>38</v>
      </c>
      <c r="G46" s="15">
        <v>5.2811844755310935E-2</v>
      </c>
      <c r="H46" s="15">
        <v>0.10333485682407302</v>
      </c>
      <c r="I46" s="15">
        <v>4.8118949600052925E-2</v>
      </c>
      <c r="J46" s="16">
        <v>0.13825941675336481</v>
      </c>
      <c r="K46" s="16">
        <v>0.10127441395571138</v>
      </c>
      <c r="L46" s="16">
        <v>0.68396890845439839</v>
      </c>
      <c r="M46" s="17">
        <v>0.95085344010644346</v>
      </c>
      <c r="N46" s="17">
        <v>0.59081480551643895</v>
      </c>
      <c r="O46" s="17">
        <v>0.82957061248588537</v>
      </c>
      <c r="P46" s="18">
        <v>0.44009870629427172</v>
      </c>
      <c r="Q46" s="18">
        <v>0.86112380686738599</v>
      </c>
      <c r="R46" s="18">
        <v>0.37014576615430395</v>
      </c>
      <c r="S46" s="19">
        <v>4.6449892339639476E-4</v>
      </c>
      <c r="T46" s="19">
        <v>9.1028738421694566E-4</v>
      </c>
      <c r="U46" s="19">
        <v>4.1843351570791665E-4</v>
      </c>
      <c r="V46" s="20">
        <v>2.4595067087762601E-4</v>
      </c>
      <c r="W46" s="20">
        <v>6.9811704604616498E-4</v>
      </c>
      <c r="X46" s="20">
        <v>2.8193327232357568E-3</v>
      </c>
      <c r="AC46" s="1">
        <v>38</v>
      </c>
      <c r="AD46" s="15">
        <v>2.1753838339525013E-2</v>
      </c>
      <c r="AE46" s="15">
        <v>0.64556776152713047</v>
      </c>
      <c r="AF46" s="15">
        <v>1.3243207135830191</v>
      </c>
      <c r="AG46" s="16">
        <v>8.2326113831904912E-2</v>
      </c>
      <c r="AH46" s="16">
        <v>0.31524357259794017</v>
      </c>
      <c r="AI46" s="16">
        <v>0.62267011231657865</v>
      </c>
      <c r="AJ46" s="17">
        <v>1.0252493815841974</v>
      </c>
      <c r="AK46" s="17">
        <v>0.7098225942038231</v>
      </c>
      <c r="AL46" s="17">
        <v>0.73747505947028724</v>
      </c>
      <c r="AM46" s="18">
        <v>0.18753308913403136</v>
      </c>
      <c r="AN46" s="18">
        <v>0.28183713825934714</v>
      </c>
      <c r="AO46" s="18">
        <v>4.2490989512681552E-3</v>
      </c>
      <c r="AP46" s="19">
        <v>1.9234577351023849E-4</v>
      </c>
      <c r="AQ46" s="19">
        <v>1.0827797608164989E-3</v>
      </c>
      <c r="AR46" s="19">
        <v>1.7503206147498893E-3</v>
      </c>
      <c r="AS46" s="20">
        <v>1.5643634751172364E-4</v>
      </c>
      <c r="AT46" s="20">
        <v>3.0280972666804069E-3</v>
      </c>
      <c r="AU46" s="20">
        <v>2.6622138289784658E-3</v>
      </c>
      <c r="AZ46" s="1">
        <v>38</v>
      </c>
      <c r="BA46" s="15">
        <v>6.9405377382709271E-2</v>
      </c>
      <c r="BB46" s="15">
        <v>0.76008113136938782</v>
      </c>
      <c r="BC46" s="15">
        <v>1.1354026713894876</v>
      </c>
      <c r="BD46" s="16">
        <v>0.96832891198115489</v>
      </c>
      <c r="BE46" s="16">
        <v>1.5448411759898302</v>
      </c>
      <c r="BF46" s="16">
        <v>9.9609546240039273E-2</v>
      </c>
      <c r="BG46" s="17">
        <v>0.45112046717630883</v>
      </c>
      <c r="BH46" s="17">
        <v>6.0840315540896452E-2</v>
      </c>
      <c r="BI46" s="17">
        <v>1.2703255558121813</v>
      </c>
      <c r="BJ46" s="18">
        <v>0.73835507853938831</v>
      </c>
      <c r="BK46" s="18">
        <v>1.5477614841246297</v>
      </c>
      <c r="BL46" s="18">
        <v>0.92179264824708596</v>
      </c>
      <c r="BM46" s="19">
        <v>6.2837659194214801E-4</v>
      </c>
      <c r="BN46" s="19">
        <v>7.302161597835255E-4</v>
      </c>
      <c r="BO46" s="19">
        <v>1.9767799661984942E-3</v>
      </c>
      <c r="BP46" s="20">
        <v>2.2225853719468613E-3</v>
      </c>
      <c r="BQ46" s="20">
        <v>2.5412151411563499E-3</v>
      </c>
      <c r="BR46" s="20">
        <v>3.9638509821009471E-3</v>
      </c>
      <c r="BV46" s="1">
        <v>38</v>
      </c>
      <c r="BW46" s="15">
        <v>2.1010805051487585E-2</v>
      </c>
      <c r="BX46" s="15">
        <v>0.42278777258371392</v>
      </c>
      <c r="BY46" s="15">
        <v>0.73262240855992922</v>
      </c>
      <c r="BZ46" s="16">
        <v>0.51556874102112427</v>
      </c>
      <c r="CA46" s="16">
        <v>1.2371412004940181</v>
      </c>
      <c r="CB46" s="16">
        <v>0.94846493580760505</v>
      </c>
      <c r="CC46" s="17">
        <v>0.85456671468759748</v>
      </c>
      <c r="CD46" s="17">
        <v>0.87251620335280289</v>
      </c>
      <c r="CE46" s="17">
        <v>0.19074777132856149</v>
      </c>
      <c r="CF46" s="18">
        <v>0.25939265495660263</v>
      </c>
      <c r="CG46" s="18">
        <v>0.43202240819480986</v>
      </c>
      <c r="CH46" s="18">
        <v>0.27011464795699208</v>
      </c>
      <c r="CI46" s="19">
        <v>1.9304873732928218E-4</v>
      </c>
      <c r="CJ46" s="19">
        <v>7.7900292043686648E-6</v>
      </c>
      <c r="CK46" s="19">
        <v>9.7983342405250085E-4</v>
      </c>
      <c r="CL46" s="20">
        <v>1.4410458062680265E-3</v>
      </c>
      <c r="CM46" s="20">
        <v>5.3392030063376117E-3</v>
      </c>
      <c r="CN46" s="20">
        <v>8.2687964716554596E-4</v>
      </c>
      <c r="CS46" s="1">
        <v>38</v>
      </c>
      <c r="CT46" s="15">
        <v>4.3995272872320683E-2</v>
      </c>
      <c r="CU46" s="15">
        <v>0.61803323047529113</v>
      </c>
      <c r="CV46" s="15">
        <v>1.0590441632266836</v>
      </c>
      <c r="CW46" s="16">
        <v>0.70262349150434533</v>
      </c>
      <c r="CX46" s="16">
        <v>1.0867565938758668</v>
      </c>
      <c r="CY46" s="16">
        <v>3.9400904842682147E-2</v>
      </c>
      <c r="CZ46" s="17">
        <v>0.94746140157715464</v>
      </c>
      <c r="DA46" s="17">
        <v>6.3007937146842385E-2</v>
      </c>
      <c r="DB46" s="17">
        <v>1.3449225391696304</v>
      </c>
      <c r="DC46" s="18">
        <v>0.56404195990145767</v>
      </c>
      <c r="DD46" s="18">
        <v>0.91785330766589435</v>
      </c>
      <c r="DE46" s="18">
        <v>0.3961107116919253</v>
      </c>
      <c r="DF46" s="19">
        <v>4.054580335146607E-4</v>
      </c>
      <c r="DG46" s="19">
        <v>2.2626344114762276E-4</v>
      </c>
      <c r="DH46" s="19">
        <v>1.1324625320335846E-3</v>
      </c>
      <c r="DI46" s="20">
        <v>1.6286550878634731E-3</v>
      </c>
      <c r="DJ46" s="20">
        <v>1.4411968582576096E-3</v>
      </c>
      <c r="DK46" s="20">
        <v>3.7923630136208475E-3</v>
      </c>
    </row>
    <row r="47" spans="6:115" ht="15.75" x14ac:dyDescent="0.25">
      <c r="F47" s="1">
        <v>39</v>
      </c>
      <c r="G47" s="15">
        <v>6.1424816952294348E-2</v>
      </c>
      <c r="H47" s="15">
        <v>0.10218264803986271</v>
      </c>
      <c r="I47" s="15">
        <v>3.6026377353576208E-2</v>
      </c>
      <c r="J47" s="16">
        <v>0.10652601103423838</v>
      </c>
      <c r="K47" s="16">
        <v>0.12164478853454827</v>
      </c>
      <c r="L47" s="16">
        <v>0.60960940713892475</v>
      </c>
      <c r="M47" s="17">
        <v>1.022163304306722</v>
      </c>
      <c r="N47" s="17">
        <v>0.56144940045115377</v>
      </c>
      <c r="O47" s="17">
        <v>0.85854331180078991</v>
      </c>
      <c r="P47" s="18">
        <v>0.51187347460245303</v>
      </c>
      <c r="Q47" s="18">
        <v>0.85152206699883704</v>
      </c>
      <c r="R47" s="18">
        <v>0.27712597964284313</v>
      </c>
      <c r="S47" s="19">
        <v>5.4020656828446267E-4</v>
      </c>
      <c r="T47" s="19">
        <v>9.0012707643316581E-4</v>
      </c>
      <c r="U47" s="19">
        <v>3.1331660635325331E-4</v>
      </c>
      <c r="V47" s="20">
        <v>1.2980935623307932E-4</v>
      </c>
      <c r="W47" s="20">
        <v>7.6365011580514786E-4</v>
      </c>
      <c r="X47" s="20">
        <v>2.4857129176030224E-3</v>
      </c>
      <c r="AC47" s="1">
        <v>39</v>
      </c>
      <c r="AD47" s="15">
        <v>1.5852230126367887E-2</v>
      </c>
      <c r="AE47" s="15">
        <v>0.63770693102607967</v>
      </c>
      <c r="AF47" s="15">
        <v>1.3246318632360408</v>
      </c>
      <c r="AG47" s="16">
        <v>4.3626523417339851E-2</v>
      </c>
      <c r="AH47" s="16">
        <v>0.30916773322026486</v>
      </c>
      <c r="AI47" s="16">
        <v>0.68670492582738107</v>
      </c>
      <c r="AJ47" s="17">
        <v>1.2282605458881113</v>
      </c>
      <c r="AK47" s="17">
        <v>0.72562868002246128</v>
      </c>
      <c r="AL47" s="17">
        <v>0.99400871705157423</v>
      </c>
      <c r="AM47" s="18">
        <v>0.13665715626196548</v>
      </c>
      <c r="AN47" s="18">
        <v>0.3496029184407618</v>
      </c>
      <c r="AO47" s="18">
        <v>1.8556400820041463E-3</v>
      </c>
      <c r="AP47" s="19">
        <v>1.4015593215821467E-4</v>
      </c>
      <c r="AQ47" s="19">
        <v>1.1526298256688827E-3</v>
      </c>
      <c r="AR47" s="19">
        <v>1.7475827928234988E-3</v>
      </c>
      <c r="AS47" s="20">
        <v>7.1727540707833284E-5</v>
      </c>
      <c r="AT47" s="20">
        <v>2.9839864911499481E-3</v>
      </c>
      <c r="AU47" s="20">
        <v>2.4210147366677814E-3</v>
      </c>
      <c r="AZ47" s="1">
        <v>39</v>
      </c>
      <c r="BA47" s="15">
        <v>5.1494705184327479E-2</v>
      </c>
      <c r="BB47" s="15">
        <v>0.75903224007661263</v>
      </c>
      <c r="BC47" s="15">
        <v>1.1104049892789469</v>
      </c>
      <c r="BD47" s="16">
        <v>0.98252828288143224</v>
      </c>
      <c r="BE47" s="16">
        <v>1.7121948445057156</v>
      </c>
      <c r="BF47" s="16">
        <v>0.27061383923194515</v>
      </c>
      <c r="BG47" s="17">
        <v>0.42798144002324712</v>
      </c>
      <c r="BH47" s="17">
        <v>1.742853160392396E-2</v>
      </c>
      <c r="BI47" s="17">
        <v>1.3098230098215426</v>
      </c>
      <c r="BJ47" s="18">
        <v>0.54781601259909762</v>
      </c>
      <c r="BK47" s="18">
        <v>1.5363604918118763</v>
      </c>
      <c r="BL47" s="18">
        <v>1.1849261441476</v>
      </c>
      <c r="BM47" s="19">
        <v>4.6630190817686939E-4</v>
      </c>
      <c r="BN47" s="19">
        <v>7.2061166647063846E-4</v>
      </c>
      <c r="BO47" s="19">
        <v>2.2050495570528068E-3</v>
      </c>
      <c r="BP47" s="20">
        <v>2.3024297443755559E-3</v>
      </c>
      <c r="BQ47" s="20">
        <v>3.0871863604825522E-3</v>
      </c>
      <c r="BR47" s="20">
        <v>3.2155539425169355E-3</v>
      </c>
      <c r="BV47" s="1">
        <v>39</v>
      </c>
      <c r="BW47" s="15">
        <v>2.6069363493123335E-2</v>
      </c>
      <c r="BX47" s="15">
        <v>0.42350447649459366</v>
      </c>
      <c r="BY47" s="15">
        <v>0.74215943322658118</v>
      </c>
      <c r="BZ47" s="16">
        <v>0.54389013524816843</v>
      </c>
      <c r="CA47" s="16">
        <v>1.2455117935384508</v>
      </c>
      <c r="CB47" s="16">
        <v>0.90289316517223517</v>
      </c>
      <c r="CC47" s="17">
        <v>0.92156180144361088</v>
      </c>
      <c r="CD47" s="17">
        <v>0.86180018069067132</v>
      </c>
      <c r="CE47" s="17">
        <v>0.25497564177112986</v>
      </c>
      <c r="CF47" s="18">
        <v>0.32184399374224637</v>
      </c>
      <c r="CG47" s="18">
        <v>0.44055459761013405</v>
      </c>
      <c r="CH47" s="18">
        <v>0.17179480603273051</v>
      </c>
      <c r="CI47" s="19">
        <v>2.3951501046315382E-4</v>
      </c>
      <c r="CJ47" s="19">
        <v>1.4383014447005849E-5</v>
      </c>
      <c r="CK47" s="19">
        <v>8.9316431530173102E-4</v>
      </c>
      <c r="CL47" s="20">
        <v>1.5306084252306729E-3</v>
      </c>
      <c r="CM47" s="20">
        <v>5.3684024649652828E-3</v>
      </c>
      <c r="CN47" s="20">
        <v>6.1568216988416857E-4</v>
      </c>
      <c r="CS47" s="1">
        <v>39</v>
      </c>
      <c r="CT47" s="15">
        <v>3.9931044374894628E-2</v>
      </c>
      <c r="CU47" s="15">
        <v>0.61900947485559177</v>
      </c>
      <c r="CV47" s="15">
        <v>1.0568521504211699</v>
      </c>
      <c r="CW47" s="16">
        <v>0.71458957069538676</v>
      </c>
      <c r="CX47" s="16">
        <v>1.1203673635076434</v>
      </c>
      <c r="CY47" s="16">
        <v>9.6250506147089104E-2</v>
      </c>
      <c r="CZ47" s="17">
        <v>0.93643770022283879</v>
      </c>
      <c r="DA47" s="17">
        <v>7.5331749037756621E-2</v>
      </c>
      <c r="DB47" s="17">
        <v>1.3451947385611112</v>
      </c>
      <c r="DC47" s="18">
        <v>0.51193646634473122</v>
      </c>
      <c r="DD47" s="18">
        <v>0.93086989940319909</v>
      </c>
      <c r="DE47" s="18">
        <v>0.42457841046474287</v>
      </c>
      <c r="DF47" s="19">
        <v>3.6801727599478085E-4</v>
      </c>
      <c r="DG47" s="19">
        <v>2.3535217064629688E-4</v>
      </c>
      <c r="DH47" s="19">
        <v>1.1528858305746015E-3</v>
      </c>
      <c r="DI47" s="20">
        <v>1.6683774241393889E-3</v>
      </c>
      <c r="DJ47" s="20">
        <v>1.5415975076539246E-3</v>
      </c>
      <c r="DK47" s="20">
        <v>3.5733919331504271E-3</v>
      </c>
    </row>
    <row r="48" spans="6:115" ht="15.75" x14ac:dyDescent="0.25">
      <c r="F48" s="1">
        <v>40</v>
      </c>
      <c r="G48" s="15">
        <v>4.7190460294368679E-2</v>
      </c>
      <c r="H48" s="15">
        <v>0.10110614427224369</v>
      </c>
      <c r="I48" s="15">
        <v>5.6326575249482633E-2</v>
      </c>
      <c r="J48" s="16">
        <v>0.14975217600889384</v>
      </c>
      <c r="K48" s="16">
        <v>5.9311309231783689E-2</v>
      </c>
      <c r="L48" s="16">
        <v>0.77188586732216691</v>
      </c>
      <c r="M48" s="17">
        <v>0.97350206189076738</v>
      </c>
      <c r="N48" s="17">
        <v>0.61791498754664764</v>
      </c>
      <c r="O48" s="17">
        <v>0.89137476066571275</v>
      </c>
      <c r="P48" s="18">
        <v>0.39325383578635009</v>
      </c>
      <c r="Q48" s="18">
        <v>0.84255120226877123</v>
      </c>
      <c r="R48" s="18">
        <v>0.4332813480729179</v>
      </c>
      <c r="S48" s="19">
        <v>4.1508017234648253E-4</v>
      </c>
      <c r="T48" s="19">
        <v>8.9063455585469686E-4</v>
      </c>
      <c r="U48" s="19">
        <v>4.8976533662958843E-4</v>
      </c>
      <c r="V48" s="20">
        <v>2.9522624356881355E-4</v>
      </c>
      <c r="W48" s="20">
        <v>5.4737321093500946E-4</v>
      </c>
      <c r="X48" s="20">
        <v>3.1906618127921504E-3</v>
      </c>
      <c r="AC48" s="1">
        <v>40</v>
      </c>
      <c r="AD48" s="15">
        <v>1.6254770152238782E-2</v>
      </c>
      <c r="AE48" s="15">
        <v>0.63587383401295317</v>
      </c>
      <c r="AF48" s="15">
        <v>1.3174537918629778</v>
      </c>
      <c r="AG48" s="16">
        <v>2.9087382398962983E-2</v>
      </c>
      <c r="AH48" s="16">
        <v>0.30662701813138399</v>
      </c>
      <c r="AI48" s="16">
        <v>0.68988290675394714</v>
      </c>
      <c r="AJ48" s="17">
        <v>1.1787816011572181</v>
      </c>
      <c r="AK48" s="17">
        <v>0.69493318312581187</v>
      </c>
      <c r="AL48" s="17">
        <v>0.86563249432628586</v>
      </c>
      <c r="AM48" s="18">
        <v>0.14012732889876189</v>
      </c>
      <c r="AN48" s="18">
        <v>0.36540547889876401</v>
      </c>
      <c r="AO48" s="18">
        <v>5.7071573720835767E-2</v>
      </c>
      <c r="AP48" s="19">
        <v>1.4371552877490143E-4</v>
      </c>
      <c r="AQ48" s="19">
        <v>1.1689168393000937E-3</v>
      </c>
      <c r="AR48" s="19">
        <v>1.810738619867136E-3</v>
      </c>
      <c r="AS48" s="20">
        <v>3.314071805338159E-5</v>
      </c>
      <c r="AT48" s="20">
        <v>2.9701630624821007E-3</v>
      </c>
      <c r="AU48" s="20">
        <v>2.3816312063366096E-3</v>
      </c>
      <c r="AZ48" s="1">
        <v>40</v>
      </c>
      <c r="BA48" s="15">
        <v>6.9552585218375179E-2</v>
      </c>
      <c r="BB48" s="15">
        <v>0.76045196807995441</v>
      </c>
      <c r="BC48" s="15">
        <v>1.1401942160131824</v>
      </c>
      <c r="BD48" s="16">
        <v>0.94868440169827561</v>
      </c>
      <c r="BE48" s="16">
        <v>1.640251110375843</v>
      </c>
      <c r="BF48" s="16">
        <v>0.1029607179318011</v>
      </c>
      <c r="BG48" s="17">
        <v>0.53466265675828695</v>
      </c>
      <c r="BH48" s="17">
        <v>0.10281869836590933</v>
      </c>
      <c r="BI48" s="17">
        <v>1.2797597013981441</v>
      </c>
      <c r="BJ48" s="18">
        <v>0.73992111934440308</v>
      </c>
      <c r="BK48" s="18">
        <v>1.5517923179350368</v>
      </c>
      <c r="BL48" s="18">
        <v>0.87135533641882079</v>
      </c>
      <c r="BM48" s="19">
        <v>6.2970844357645983E-4</v>
      </c>
      <c r="BN48" s="19">
        <v>7.3361188790632692E-4</v>
      </c>
      <c r="BO48" s="19">
        <v>1.9330121677417766E-3</v>
      </c>
      <c r="BP48" s="20">
        <v>2.1736238304211897E-3</v>
      </c>
      <c r="BQ48" s="20">
        <v>2.8493374843684416E-3</v>
      </c>
      <c r="BR48" s="20">
        <v>3.9695311842281597E-3</v>
      </c>
      <c r="BV48" s="1">
        <v>40</v>
      </c>
      <c r="BW48" s="15">
        <v>1.7544243090954953E-2</v>
      </c>
      <c r="BX48" s="15">
        <v>0.42183902206652413</v>
      </c>
      <c r="BY48" s="15">
        <v>0.72973694811254575</v>
      </c>
      <c r="BZ48" s="16">
        <v>0.48616588732153071</v>
      </c>
      <c r="CA48" s="16">
        <v>1.2232493076123718</v>
      </c>
      <c r="CB48" s="16">
        <v>1.0325248772162119</v>
      </c>
      <c r="CC48" s="17">
        <v>0.89463419624577578</v>
      </c>
      <c r="CD48" s="17">
        <v>0.89329761933699803</v>
      </c>
      <c r="CE48" s="17">
        <v>0.26097384845122862</v>
      </c>
      <c r="CF48" s="18">
        <v>0.21659559371554493</v>
      </c>
      <c r="CG48" s="18">
        <v>0.42072775918066746</v>
      </c>
      <c r="CH48" s="18">
        <v>0.2998616628783306</v>
      </c>
      <c r="CI48" s="19">
        <v>1.6120331210489613E-4</v>
      </c>
      <c r="CJ48" s="19">
        <v>9.3741520723611416E-7</v>
      </c>
      <c r="CK48" s="19">
        <v>1.0060521871884109E-3</v>
      </c>
      <c r="CL48" s="20">
        <v>1.3528229706749606E-3</v>
      </c>
      <c r="CM48" s="20">
        <v>5.2915278097300789E-3</v>
      </c>
      <c r="CN48" s="20">
        <v>1.1603392198774598E-3</v>
      </c>
      <c r="CS48" s="1">
        <v>40</v>
      </c>
      <c r="CT48" s="15">
        <v>4.0215149725638957E-2</v>
      </c>
      <c r="CU48" s="15">
        <v>0.6182391413232553</v>
      </c>
      <c r="CV48" s="15">
        <v>1.0528490332572766</v>
      </c>
      <c r="CW48" s="16">
        <v>0.72208973141637423</v>
      </c>
      <c r="CX48" s="16">
        <v>1.1042120980468701</v>
      </c>
      <c r="CY48" s="16">
        <v>0.10902133975665658</v>
      </c>
      <c r="CZ48" s="17">
        <v>0.87754217392930578</v>
      </c>
      <c r="DA48" s="17">
        <v>0.10343478694016571</v>
      </c>
      <c r="DB48" s="17">
        <v>1.3398749911333911</v>
      </c>
      <c r="DC48" s="18">
        <v>0.51557884263639686</v>
      </c>
      <c r="DD48" s="18">
        <v>0.92059878563882425</v>
      </c>
      <c r="DE48" s="18">
        <v>0.4765669450608494</v>
      </c>
      <c r="DF48" s="19">
        <v>3.706346291993956E-4</v>
      </c>
      <c r="DG48" s="19">
        <v>2.2818043399241983E-4</v>
      </c>
      <c r="DH48" s="19">
        <v>1.1901811136540985E-3</v>
      </c>
      <c r="DI48" s="20">
        <v>1.6862241018343882E-3</v>
      </c>
      <c r="DJ48" s="20">
        <v>1.4942599104962317E-3</v>
      </c>
      <c r="DK48" s="20">
        <v>3.5110478266163758E-3</v>
      </c>
    </row>
    <row r="49" spans="5:115" ht="15.75" x14ac:dyDescent="0.25">
      <c r="F49" s="1">
        <v>41</v>
      </c>
      <c r="G49" s="15">
        <v>4.5132227036174304E-2</v>
      </c>
      <c r="H49" s="15">
        <v>0.10506120992484891</v>
      </c>
      <c r="I49" s="15">
        <v>5.1515905214458604E-2</v>
      </c>
      <c r="J49" s="16">
        <v>0.13710613603834648</v>
      </c>
      <c r="K49" s="16">
        <v>4.9777481006866867E-2</v>
      </c>
      <c r="L49" s="16">
        <v>0.76918411331160974</v>
      </c>
      <c r="M49" s="17">
        <v>0.89694068198185728</v>
      </c>
      <c r="N49" s="17">
        <v>0.63961947517501672</v>
      </c>
      <c r="O49" s="17">
        <v>0.85013698191471332</v>
      </c>
      <c r="P49" s="18">
        <v>0.37610189196811922</v>
      </c>
      <c r="Q49" s="18">
        <v>0.87551008270698105</v>
      </c>
      <c r="R49" s="18">
        <v>0.39627619395737379</v>
      </c>
      <c r="S49" s="19">
        <v>3.969844300040215E-4</v>
      </c>
      <c r="T49" s="19">
        <v>9.2551100039361955E-4</v>
      </c>
      <c r="U49" s="19">
        <v>4.4795760595006673E-4</v>
      </c>
      <c r="V49" s="20">
        <v>2.6475557890959234E-4</v>
      </c>
      <c r="W49" s="20">
        <v>5.283643175888475E-4</v>
      </c>
      <c r="X49" s="20">
        <v>3.1617640037276966E-3</v>
      </c>
      <c r="AC49" s="1">
        <v>41</v>
      </c>
      <c r="AD49" s="15">
        <v>1.9958037903536299E-2</v>
      </c>
      <c r="AE49" s="15">
        <v>0.63809300247886069</v>
      </c>
      <c r="AF49" s="15">
        <v>1.3151502523325536</v>
      </c>
      <c r="AG49" s="16">
        <v>2.8343309765334949E-2</v>
      </c>
      <c r="AH49" s="16">
        <v>0.29737041864448505</v>
      </c>
      <c r="AI49" s="16">
        <v>0.70447276938500747</v>
      </c>
      <c r="AJ49" s="17">
        <v>1.1075886128262264</v>
      </c>
      <c r="AK49" s="17">
        <v>0.71182862757662058</v>
      </c>
      <c r="AL49" s="17">
        <v>0.81593212530458337</v>
      </c>
      <c r="AM49" s="18">
        <v>0.17205205089283598</v>
      </c>
      <c r="AN49" s="18">
        <v>0.34627471626160089</v>
      </c>
      <c r="AO49" s="18">
        <v>7.4791108570272935E-2</v>
      </c>
      <c r="AP49" s="19">
        <v>1.7646427387418839E-4</v>
      </c>
      <c r="AQ49" s="19">
        <v>1.1491995154314651E-3</v>
      </c>
      <c r="AR49" s="19">
        <v>1.8310042258704586E-3</v>
      </c>
      <c r="AS49" s="20">
        <v>2.1656123574298473E-5</v>
      </c>
      <c r="AT49" s="20">
        <v>2.9480752208126404E-3</v>
      </c>
      <c r="AU49" s="20">
        <v>2.3176125731797503E-3</v>
      </c>
      <c r="AZ49" s="1">
        <v>41</v>
      </c>
      <c r="BA49" s="15">
        <v>6.5205230790125357E-2</v>
      </c>
      <c r="BB49" s="15">
        <v>0.75780579069241039</v>
      </c>
      <c r="BC49" s="15">
        <v>1.128862225090524</v>
      </c>
      <c r="BD49" s="16">
        <v>0.96542933913556084</v>
      </c>
      <c r="BE49" s="16">
        <v>1.701264476399672</v>
      </c>
      <c r="BF49" s="16">
        <v>0.18171787475366807</v>
      </c>
      <c r="BG49" s="17">
        <v>0.49035557754691572</v>
      </c>
      <c r="BH49" s="17">
        <v>3.3355568315272838E-2</v>
      </c>
      <c r="BI49" s="17">
        <v>1.3619252333972924</v>
      </c>
      <c r="BJ49" s="18">
        <v>0.69367266798004323</v>
      </c>
      <c r="BK49" s="18">
        <v>1.5230295202444597</v>
      </c>
      <c r="BL49" s="18">
        <v>0.9906394513940131</v>
      </c>
      <c r="BM49" s="19">
        <v>5.9037443594489581E-4</v>
      </c>
      <c r="BN49" s="19">
        <v>7.0938156577138312E-4</v>
      </c>
      <c r="BO49" s="19">
        <v>2.03651605309163E-3</v>
      </c>
      <c r="BP49" s="20">
        <v>2.2258960801793122E-3</v>
      </c>
      <c r="BQ49" s="20">
        <v>3.0556798664636009E-3</v>
      </c>
      <c r="BR49" s="20">
        <v>3.6256845208303412E-3</v>
      </c>
      <c r="BV49" s="1">
        <v>41</v>
      </c>
      <c r="BW49" s="15">
        <v>0.16868367483084457</v>
      </c>
      <c r="BX49" s="15">
        <v>0.40602713489233361</v>
      </c>
      <c r="BY49" s="15">
        <v>0.90967498323593599</v>
      </c>
      <c r="BZ49" s="16">
        <v>1.0153467104715284</v>
      </c>
      <c r="CA49" s="16">
        <v>1.6076177690331224</v>
      </c>
      <c r="CB49" s="16">
        <v>7.4261591485360684E-2</v>
      </c>
      <c r="CC49" s="17">
        <v>1.7396575664015339</v>
      </c>
      <c r="CD49" s="17">
        <v>0.41782370131024477</v>
      </c>
      <c r="CE49" s="17">
        <v>0.43444414272016246</v>
      </c>
      <c r="CF49" s="18">
        <v>2.0825145040845534</v>
      </c>
      <c r="CG49" s="18">
        <v>0.23249100710697168</v>
      </c>
      <c r="CH49" s="18">
        <v>1.5551696270533879</v>
      </c>
      <c r="CI49" s="19">
        <v>1.547592435903189E-3</v>
      </c>
      <c r="CJ49" s="19">
        <v>1.4636462744299639E-4</v>
      </c>
      <c r="CK49" s="19">
        <v>6.3187783913021267E-4</v>
      </c>
      <c r="CL49" s="20">
        <v>3.1749058166119504E-3</v>
      </c>
      <c r="CM49" s="20">
        <v>6.4726166852415723E-3</v>
      </c>
      <c r="CN49" s="20">
        <v>3.757659925712864E-3</v>
      </c>
      <c r="CS49" s="1">
        <v>41</v>
      </c>
      <c r="CT49" s="15">
        <v>3.9805294797198923E-2</v>
      </c>
      <c r="CU49" s="15">
        <v>0.61770834665786611</v>
      </c>
      <c r="CV49" s="15">
        <v>1.0518537605878924</v>
      </c>
      <c r="CW49" s="16">
        <v>0.69323703635221912</v>
      </c>
      <c r="CX49" s="16">
        <v>1.1167146067071607</v>
      </c>
      <c r="CY49" s="16">
        <v>7.7909624878290798E-2</v>
      </c>
      <c r="CZ49" s="17">
        <v>0.90488145722310875</v>
      </c>
      <c r="DA49" s="17">
        <v>8.1182030936809021E-2</v>
      </c>
      <c r="DB49" s="17">
        <v>1.3253707443931155</v>
      </c>
      <c r="DC49" s="18">
        <v>0.51032429227181686</v>
      </c>
      <c r="DD49" s="18">
        <v>0.91352152343344795</v>
      </c>
      <c r="DE49" s="18">
        <v>0.48949256414378062</v>
      </c>
      <c r="DF49" s="19">
        <v>3.668587888078223E-4</v>
      </c>
      <c r="DG49" s="19">
        <v>2.232388475762459E-4</v>
      </c>
      <c r="DH49" s="19">
        <v>1.1994531632475436E-3</v>
      </c>
      <c r="DI49" s="20">
        <v>1.6158682915008438E-3</v>
      </c>
      <c r="DJ49" s="20">
        <v>1.5343434219429186E-3</v>
      </c>
      <c r="DK49" s="20">
        <v>3.6226822261509195E-3</v>
      </c>
    </row>
    <row r="50" spans="5:115" ht="15.75" x14ac:dyDescent="0.25">
      <c r="F50" s="1">
        <v>42</v>
      </c>
      <c r="G50" s="15">
        <v>4.9880018310307306E-2</v>
      </c>
      <c r="H50" s="15">
        <v>0.10075238088285389</v>
      </c>
      <c r="I50" s="15">
        <v>5.3979394971596317E-2</v>
      </c>
      <c r="J50" s="16">
        <v>0.13674507753400317</v>
      </c>
      <c r="K50" s="16">
        <v>6.6227938355551713E-2</v>
      </c>
      <c r="L50" s="16">
        <v>0.72818511951573306</v>
      </c>
      <c r="M50" s="17">
        <v>0.93206736753767583</v>
      </c>
      <c r="N50" s="17">
        <v>0.62165883098817765</v>
      </c>
      <c r="O50" s="17">
        <v>0.85604735361024464</v>
      </c>
      <c r="P50" s="18">
        <v>0.41566681925263044</v>
      </c>
      <c r="Q50" s="18">
        <v>0.8396031740237635</v>
      </c>
      <c r="R50" s="18">
        <v>0.41522611516615088</v>
      </c>
      <c r="S50" s="19">
        <v>4.387253248583356E-4</v>
      </c>
      <c r="T50" s="19">
        <v>8.8751514440776902E-4</v>
      </c>
      <c r="U50" s="19">
        <v>4.693673745839177E-4</v>
      </c>
      <c r="V50" s="20">
        <v>2.5003792276667713E-4</v>
      </c>
      <c r="W50" s="20">
        <v>5.6975734063102745E-4</v>
      </c>
      <c r="X50" s="20">
        <v>3.0126977058564375E-3</v>
      </c>
      <c r="AC50" s="1">
        <v>42</v>
      </c>
      <c r="AD50" s="15">
        <v>2.0317679846267495E-2</v>
      </c>
      <c r="AE50" s="15">
        <v>0.63588353739432568</v>
      </c>
      <c r="AF50" s="15">
        <v>1.3157834114073508</v>
      </c>
      <c r="AG50" s="16">
        <v>1.2222670370927956E-2</v>
      </c>
      <c r="AH50" s="16">
        <v>0.29681603398157486</v>
      </c>
      <c r="AI50" s="16">
        <v>0.72094645337988794</v>
      </c>
      <c r="AJ50" s="17">
        <v>1.1834659699776147</v>
      </c>
      <c r="AK50" s="17">
        <v>0.73372050605727657</v>
      </c>
      <c r="AL50" s="17">
        <v>0.94224060395541931</v>
      </c>
      <c r="AM50" s="18">
        <v>0.17515241246799662</v>
      </c>
      <c r="AN50" s="18">
        <v>0.36532182905925881</v>
      </c>
      <c r="AO50" s="18">
        <v>6.9920654148736397E-2</v>
      </c>
      <c r="AP50" s="19">
        <v>1.7964478949450413E-4</v>
      </c>
      <c r="AQ50" s="19">
        <v>1.1688306266209869E-3</v>
      </c>
      <c r="AR50" s="19">
        <v>1.825434043554286E-3</v>
      </c>
      <c r="AS50" s="20">
        <v>2.0906670977538511E-5</v>
      </c>
      <c r="AT50" s="20">
        <v>2.9393091248475223E-3</v>
      </c>
      <c r="AU50" s="20">
        <v>2.2576430140230919E-3</v>
      </c>
      <c r="AZ50" s="1">
        <v>42</v>
      </c>
      <c r="BA50" s="15">
        <v>6.60779362977027E-2</v>
      </c>
      <c r="BB50" s="15">
        <v>0.76184268600773364</v>
      </c>
      <c r="BC50" s="15">
        <v>1.1383187059541418</v>
      </c>
      <c r="BD50" s="16">
        <v>1.0471132519115194</v>
      </c>
      <c r="BE50" s="16">
        <v>1.5152564650007423</v>
      </c>
      <c r="BF50" s="16">
        <v>8.9388784249721964E-2</v>
      </c>
      <c r="BG50" s="17">
        <v>0.44698057371377947</v>
      </c>
      <c r="BH50" s="17">
        <v>4.0771537174873326E-3</v>
      </c>
      <c r="BI50" s="17">
        <v>1.3954068588210276</v>
      </c>
      <c r="BJ50" s="18">
        <v>0.70295676912442462</v>
      </c>
      <c r="BK50" s="18">
        <v>1.5669088171502081</v>
      </c>
      <c r="BL50" s="18">
        <v>0.89109754756670212</v>
      </c>
      <c r="BM50" s="19">
        <v>5.9827077787344418E-4</v>
      </c>
      <c r="BN50" s="19">
        <v>7.4634682938290453E-4</v>
      </c>
      <c r="BO50" s="19">
        <v>1.9501442981839645E-3</v>
      </c>
      <c r="BP50" s="20">
        <v>2.4257949985772025E-3</v>
      </c>
      <c r="BQ50" s="20">
        <v>2.4396522216099115E-3</v>
      </c>
      <c r="BR50" s="20">
        <v>4.0140250786478981E-3</v>
      </c>
      <c r="BV50" s="1">
        <v>42</v>
      </c>
      <c r="BW50" s="15">
        <v>1.8330634972427727E-2</v>
      </c>
      <c r="BX50" s="15">
        <v>0.42326017772628188</v>
      </c>
      <c r="BY50" s="15">
        <v>0.73026932393461441</v>
      </c>
      <c r="BZ50" s="16">
        <v>0.49505602055040926</v>
      </c>
      <c r="CA50" s="16">
        <v>1.2181682788981441</v>
      </c>
      <c r="CB50" s="16">
        <v>0.99530746167758499</v>
      </c>
      <c r="CC50" s="17">
        <v>0.85165383217389345</v>
      </c>
      <c r="CD50" s="17">
        <v>0.8889133360920991</v>
      </c>
      <c r="CE50" s="17">
        <v>0.21412020626203557</v>
      </c>
      <c r="CF50" s="18">
        <v>0.2263041354621052</v>
      </c>
      <c r="CG50" s="18">
        <v>0.43764627893953523</v>
      </c>
      <c r="CH50" s="18">
        <v>0.29437325234156791</v>
      </c>
      <c r="CI50" s="19">
        <v>1.6842766153679634E-4</v>
      </c>
      <c r="CJ50" s="19">
        <v>1.213569056468522E-5</v>
      </c>
      <c r="CK50" s="19">
        <v>1.0012148640063945E-3</v>
      </c>
      <c r="CL50" s="20">
        <v>1.3787990892966118E-3</v>
      </c>
      <c r="CM50" s="20">
        <v>5.2798579411778013E-3</v>
      </c>
      <c r="CN50" s="20">
        <v>1.0155243997602703E-3</v>
      </c>
      <c r="CS50" s="1">
        <v>42</v>
      </c>
      <c r="CT50" s="15">
        <v>3.8389415269953292E-2</v>
      </c>
      <c r="CU50" s="15">
        <v>0.61787730727900281</v>
      </c>
      <c r="CV50" s="15">
        <v>1.0502698507952724</v>
      </c>
      <c r="CW50" s="16">
        <v>0.71493734738767267</v>
      </c>
      <c r="CX50" s="16">
        <v>1.1158636784317582</v>
      </c>
      <c r="CY50" s="16">
        <v>0.11644242133983748</v>
      </c>
      <c r="CZ50" s="17">
        <v>0.91263206592380319</v>
      </c>
      <c r="DA50" s="17">
        <v>9.1692261648001594E-2</v>
      </c>
      <c r="DB50" s="17">
        <v>1.3548998709750282</v>
      </c>
      <c r="DC50" s="18">
        <v>0.49217199064046258</v>
      </c>
      <c r="DD50" s="18">
        <v>0.91577433171535716</v>
      </c>
      <c r="DE50" s="18">
        <v>0.51006282119072122</v>
      </c>
      <c r="DF50" s="19">
        <v>3.538145814400151E-4</v>
      </c>
      <c r="DG50" s="19">
        <v>2.2481182960654156E-4</v>
      </c>
      <c r="DH50" s="19">
        <v>1.2142086245385819E-3</v>
      </c>
      <c r="DI50" s="20">
        <v>1.6730773170470226E-3</v>
      </c>
      <c r="DJ50" s="20">
        <v>1.5312087335589419E-3</v>
      </c>
      <c r="DK50" s="20">
        <v>3.4738719554850972E-3</v>
      </c>
    </row>
    <row r="51" spans="5:115" ht="15.75" x14ac:dyDescent="0.25">
      <c r="F51" s="1">
        <v>43</v>
      </c>
      <c r="G51" s="15">
        <v>5.7116260651625159E-2</v>
      </c>
      <c r="H51" s="15">
        <v>0.1038060687373929</v>
      </c>
      <c r="I51" s="15">
        <v>4.6568759107382451E-2</v>
      </c>
      <c r="J51" s="16">
        <v>0.11198319069695656</v>
      </c>
      <c r="K51" s="16">
        <v>0.10588877461303484</v>
      </c>
      <c r="L51" s="16">
        <v>0.667742684170479</v>
      </c>
      <c r="M51" s="17">
        <v>0.93310400154257311</v>
      </c>
      <c r="N51" s="17">
        <v>0.57770797083541159</v>
      </c>
      <c r="O51" s="17">
        <v>0.79737318945863978</v>
      </c>
      <c r="P51" s="18">
        <v>0.47596883876357082</v>
      </c>
      <c r="Q51" s="18">
        <v>0.86505057281166275</v>
      </c>
      <c r="R51" s="18">
        <v>0.35822122390296723</v>
      </c>
      <c r="S51" s="19">
        <v>5.0233617809347653E-4</v>
      </c>
      <c r="T51" s="19">
        <v>9.1444265185669504E-4</v>
      </c>
      <c r="U51" s="19">
        <v>4.0495961956454885E-4</v>
      </c>
      <c r="V51" s="20">
        <v>1.5792308253359533E-4</v>
      </c>
      <c r="W51" s="20">
        <v>7.154648151358467E-4</v>
      </c>
      <c r="X51" s="20">
        <v>2.7506924763188723E-3</v>
      </c>
      <c r="AC51" s="1">
        <v>43</v>
      </c>
      <c r="AD51" s="15">
        <v>2.043922437885631E-2</v>
      </c>
      <c r="AE51" s="15">
        <v>0.6385243385743341</v>
      </c>
      <c r="AF51" s="15">
        <v>1.3191214312418966</v>
      </c>
      <c r="AG51" s="16">
        <v>1.9937627537960124E-2</v>
      </c>
      <c r="AH51" s="16">
        <v>0.29103435290630836</v>
      </c>
      <c r="AI51" s="16">
        <v>0.73572732149942421</v>
      </c>
      <c r="AJ51" s="17">
        <v>1.1882239588817947</v>
      </c>
      <c r="AK51" s="17">
        <v>0.71772482208990085</v>
      </c>
      <c r="AL51" s="17">
        <v>0.92037968785887403</v>
      </c>
      <c r="AM51" s="18">
        <v>0.17620021016261947</v>
      </c>
      <c r="AN51" s="18">
        <v>0.34255630164546563</v>
      </c>
      <c r="AO51" s="18">
        <v>4.4243578498439601E-2</v>
      </c>
      <c r="AP51" s="19">
        <v>1.8071968121047274E-4</v>
      </c>
      <c r="AQ51" s="19">
        <v>1.1453669896499541E-3</v>
      </c>
      <c r="AR51" s="19">
        <v>1.7960668149377135E-3</v>
      </c>
      <c r="AS51" s="20">
        <v>1.2954532481179726E-6</v>
      </c>
      <c r="AT51" s="20">
        <v>2.9294993246399281E-3</v>
      </c>
      <c r="AU51" s="20">
        <v>2.2143819260538318E-3</v>
      </c>
      <c r="AZ51" s="1">
        <v>43</v>
      </c>
      <c r="BA51" s="15">
        <v>5.9298218884321109E-2</v>
      </c>
      <c r="BB51" s="15">
        <v>0.76071581524340104</v>
      </c>
      <c r="BC51" s="15">
        <v>1.1249867546636876</v>
      </c>
      <c r="BD51" s="16">
        <v>0.96263903499035686</v>
      </c>
      <c r="BE51" s="16">
        <v>1.6136625030074656</v>
      </c>
      <c r="BF51" s="16">
        <v>0.17339212464214301</v>
      </c>
      <c r="BG51" s="17">
        <v>0.50082249461682271</v>
      </c>
      <c r="BH51" s="17">
        <v>6.6774813858405502E-2</v>
      </c>
      <c r="BI51" s="17">
        <v>1.3040766095465732</v>
      </c>
      <c r="BJ51" s="18">
        <v>0.63083211579062171</v>
      </c>
      <c r="BK51" s="18">
        <v>1.5546602218857024</v>
      </c>
      <c r="BL51" s="18">
        <v>1.0314338769397307</v>
      </c>
      <c r="BM51" s="19">
        <v>5.3692347703304666E-4</v>
      </c>
      <c r="BN51" s="19">
        <v>7.3602793501714725E-4</v>
      </c>
      <c r="BO51" s="19">
        <v>2.0719082938983609E-3</v>
      </c>
      <c r="BP51" s="20">
        <v>2.2337381650728849E-3</v>
      </c>
      <c r="BQ51" s="20">
        <v>2.7622826007760448E-3</v>
      </c>
      <c r="BR51" s="20">
        <v>3.642511465570375E-3</v>
      </c>
      <c r="BV51" s="1">
        <v>43</v>
      </c>
      <c r="BW51" s="15">
        <v>2.131358648799811E-2</v>
      </c>
      <c r="BX51" s="15">
        <v>0.42372135211323075</v>
      </c>
      <c r="BY51" s="15">
        <v>0.73178420553117007</v>
      </c>
      <c r="BZ51" s="16">
        <v>0.51059199963123836</v>
      </c>
      <c r="CA51" s="16">
        <v>1.2316945718189376</v>
      </c>
      <c r="CB51" s="16">
        <v>0.93062944490991484</v>
      </c>
      <c r="CC51" s="17">
        <v>0.8105844497581699</v>
      </c>
      <c r="CD51" s="17">
        <v>0.85940146724006772</v>
      </c>
      <c r="CE51" s="17">
        <v>0.12195489289851856</v>
      </c>
      <c r="CF51" s="18">
        <v>0.26313069738271005</v>
      </c>
      <c r="CG51" s="18">
        <v>0.44313645021295595</v>
      </c>
      <c r="CH51" s="18">
        <v>0.27875591629454527</v>
      </c>
      <c r="CI51" s="19">
        <v>1.958301214024516E-4</v>
      </c>
      <c r="CJ51" s="19">
        <v>1.6378079825019043E-5</v>
      </c>
      <c r="CK51" s="19">
        <v>9.8744992072841153E-4</v>
      </c>
      <c r="CL51" s="20">
        <v>1.428489761555074E-3</v>
      </c>
      <c r="CM51" s="20">
        <v>5.3247702659110496E-3</v>
      </c>
      <c r="CN51" s="20">
        <v>7.6170489369886685E-4</v>
      </c>
      <c r="CS51" s="1">
        <v>43</v>
      </c>
      <c r="CT51" s="15">
        <v>3.6546413332416608E-2</v>
      </c>
      <c r="CU51" s="15">
        <v>0.61762504548939245</v>
      </c>
      <c r="CV51" s="15">
        <v>1.0474960246605487</v>
      </c>
      <c r="CW51" s="16">
        <v>0.72628450015061519</v>
      </c>
      <c r="CX51" s="16">
        <v>1.1172835333470093</v>
      </c>
      <c r="CY51" s="16">
        <v>0.10756739048551872</v>
      </c>
      <c r="CZ51" s="17">
        <v>0.91303708171650655</v>
      </c>
      <c r="DA51" s="17">
        <v>8.3437409794686238E-2</v>
      </c>
      <c r="DB51" s="17">
        <v>1.3337768143772837</v>
      </c>
      <c r="DC51" s="18">
        <v>0.46854376067198983</v>
      </c>
      <c r="DD51" s="18">
        <v>0.91241084118739557</v>
      </c>
      <c r="DE51" s="18">
        <v>0.54608653722625511</v>
      </c>
      <c r="DF51" s="19">
        <v>3.3683482987578728E-4</v>
      </c>
      <c r="DG51" s="19">
        <v>2.22463336053913E-4</v>
      </c>
      <c r="DH51" s="19">
        <v>1.2400480264335156E-3</v>
      </c>
      <c r="DI51" s="20">
        <v>1.7057399465443268E-3</v>
      </c>
      <c r="DJ51" s="20">
        <v>1.5363484624268953E-3</v>
      </c>
      <c r="DK51" s="20">
        <v>3.4964000440005361E-3</v>
      </c>
    </row>
    <row r="52" spans="5:115" ht="15.75" x14ac:dyDescent="0.25">
      <c r="F52" s="1">
        <v>44</v>
      </c>
      <c r="G52" s="15">
        <v>6.0462704828378872E-2</v>
      </c>
      <c r="H52" s="15">
        <v>0.10120060438442385</v>
      </c>
      <c r="I52" s="15">
        <v>3.7353877852655842E-2</v>
      </c>
      <c r="J52" s="16">
        <v>0.10848864758883917</v>
      </c>
      <c r="K52" s="16">
        <v>0.11126291189485894</v>
      </c>
      <c r="L52" s="16">
        <v>0.61725181817836872</v>
      </c>
      <c r="M52" s="17">
        <v>1.0201617311081008</v>
      </c>
      <c r="N52" s="17">
        <v>0.56808858528416373</v>
      </c>
      <c r="O52" s="17">
        <v>0.86379652484730518</v>
      </c>
      <c r="P52" s="18">
        <v>0.50385587356985184</v>
      </c>
      <c r="Q52" s="18">
        <v>0.84333836987017985</v>
      </c>
      <c r="R52" s="18">
        <v>0.28733752194348106</v>
      </c>
      <c r="S52" s="19">
        <v>5.3175029188035072E-4</v>
      </c>
      <c r="T52" s="19">
        <v>8.9146748906965289E-4</v>
      </c>
      <c r="U52" s="19">
        <v>3.2485739048526696E-4</v>
      </c>
      <c r="V52" s="20">
        <v>1.3822847612199318E-4</v>
      </c>
      <c r="W52" s="20">
        <v>7.2488839806672534E-4</v>
      </c>
      <c r="X52" s="20">
        <v>2.5203175688526258E-3</v>
      </c>
      <c r="AC52" s="1">
        <v>44</v>
      </c>
      <c r="AD52" s="15">
        <v>4.5392634047790132E-3</v>
      </c>
      <c r="AE52" s="15">
        <v>0.63456281920844959</v>
      </c>
      <c r="AF52" s="15">
        <v>1.3266399326767435</v>
      </c>
      <c r="AG52" s="16">
        <v>7.4395941835460708E-2</v>
      </c>
      <c r="AH52" s="16">
        <v>0.33811188958893296</v>
      </c>
      <c r="AI52" s="16">
        <v>0.59320052815830693</v>
      </c>
      <c r="AJ52" s="17">
        <v>1.192678600226744</v>
      </c>
      <c r="AK52" s="17">
        <v>0.65749889430450725</v>
      </c>
      <c r="AL52" s="17">
        <v>0.82652772810722619</v>
      </c>
      <c r="AM52" s="18">
        <v>3.9131581075897766E-2</v>
      </c>
      <c r="AN52" s="18">
        <v>0.37670733066169676</v>
      </c>
      <c r="AO52" s="18">
        <v>1.3591047923515237E-2</v>
      </c>
      <c r="AP52" s="19">
        <v>4.0128910055448053E-5</v>
      </c>
      <c r="AQ52" s="19">
        <v>1.1805647991213197E-3</v>
      </c>
      <c r="AR52" s="19">
        <v>1.7299132704253761E-3</v>
      </c>
      <c r="AS52" s="20">
        <v>1.8038299083078524E-4</v>
      </c>
      <c r="AT52" s="20">
        <v>3.0651048793449709E-3</v>
      </c>
      <c r="AU52" s="20">
        <v>2.7825630324697088E-3</v>
      </c>
      <c r="AZ52" s="1">
        <v>44</v>
      </c>
      <c r="BA52" s="15">
        <v>5.3264667366449442E-2</v>
      </c>
      <c r="BB52" s="15">
        <v>0.75798142874525631</v>
      </c>
      <c r="BC52" s="15">
        <v>1.1102083232250979</v>
      </c>
      <c r="BD52" s="16">
        <v>1.0398990811046991</v>
      </c>
      <c r="BE52" s="16">
        <v>1.5933706410525228</v>
      </c>
      <c r="BF52" s="16">
        <v>7.7439673570313422E-2</v>
      </c>
      <c r="BG52" s="17">
        <v>0.48923193249955477</v>
      </c>
      <c r="BH52" s="17">
        <v>3.4834878031388856E-2</v>
      </c>
      <c r="BI52" s="17">
        <v>1.3694722307463869</v>
      </c>
      <c r="BJ52" s="18">
        <v>0.56664539751534715</v>
      </c>
      <c r="BK52" s="18">
        <v>1.5249386295146046</v>
      </c>
      <c r="BL52" s="18">
        <v>1.1869963131354704</v>
      </c>
      <c r="BM52" s="19">
        <v>4.823209796743777E-4</v>
      </c>
      <c r="BN52" s="19">
        <v>7.1098979531647455E-4</v>
      </c>
      <c r="BO52" s="19">
        <v>2.2068449812044917E-3</v>
      </c>
      <c r="BP52" s="20">
        <v>2.4399597922950549E-3</v>
      </c>
      <c r="BQ52" s="20">
        <v>2.7052854609231902E-3</v>
      </c>
      <c r="BR52" s="20">
        <v>3.9513231368544224E-3</v>
      </c>
      <c r="BV52" s="1">
        <v>44</v>
      </c>
      <c r="BW52" s="15">
        <v>2.3878670379267726E-2</v>
      </c>
      <c r="BX52" s="15">
        <v>0.42350990153147683</v>
      </c>
      <c r="BY52" s="15">
        <v>0.73615009814007815</v>
      </c>
      <c r="BZ52" s="16">
        <v>0.52659912625507543</v>
      </c>
      <c r="CA52" s="16">
        <v>1.2369848406209227</v>
      </c>
      <c r="CB52" s="16">
        <v>0.91190262992140414</v>
      </c>
      <c r="CC52" s="17">
        <v>0.85474364682307358</v>
      </c>
      <c r="CD52" s="17">
        <v>0.86660926505883751</v>
      </c>
      <c r="CE52" s="17">
        <v>0.19002993429806594</v>
      </c>
      <c r="CF52" s="18">
        <v>0.29479839974397737</v>
      </c>
      <c r="CG52" s="18">
        <v>0.44061918138242046</v>
      </c>
      <c r="CH52" s="18">
        <v>0.23374671414102358</v>
      </c>
      <c r="CI52" s="19">
        <v>2.1939259275138845E-4</v>
      </c>
      <c r="CJ52" s="19">
        <v>1.4432919919760145E-5</v>
      </c>
      <c r="CK52" s="19">
        <v>9.4777696900005814E-4</v>
      </c>
      <c r="CL52" s="20">
        <v>1.47832649734847E-3</v>
      </c>
      <c r="CM52" s="20">
        <v>5.341057210170308E-3</v>
      </c>
      <c r="CN52" s="20">
        <v>6.7321130528308348E-4</v>
      </c>
      <c r="CS52" s="1">
        <v>44</v>
      </c>
      <c r="CT52" s="15">
        <v>3.9902342466325014E-2</v>
      </c>
      <c r="CU52" s="15">
        <v>0.61789791633397384</v>
      </c>
      <c r="CV52" s="15">
        <v>1.0526702611625771</v>
      </c>
      <c r="CW52" s="16">
        <v>0.69568867815577551</v>
      </c>
      <c r="CX52" s="16">
        <v>1.1258143037988375</v>
      </c>
      <c r="CY52" s="16">
        <v>0.10143104206903446</v>
      </c>
      <c r="CZ52" s="17">
        <v>0.90478246328736112</v>
      </c>
      <c r="DA52" s="17">
        <v>8.5205170855188306E-2</v>
      </c>
      <c r="DB52" s="17">
        <v>1.3309755705295292</v>
      </c>
      <c r="DC52" s="18">
        <v>0.51156849315806674</v>
      </c>
      <c r="DD52" s="18">
        <v>0.91604911911502207</v>
      </c>
      <c r="DE52" s="18">
        <v>0.47888866057646234</v>
      </c>
      <c r="DF52" s="19">
        <v>3.6775285553569681E-4</v>
      </c>
      <c r="DG52" s="19">
        <v>2.2500369523026365E-4</v>
      </c>
      <c r="DH52" s="19">
        <v>1.1918465842906123E-3</v>
      </c>
      <c r="DI52" s="20">
        <v>1.6216914989800602E-3</v>
      </c>
      <c r="DJ52" s="20">
        <v>1.5617551848734479E-3</v>
      </c>
      <c r="DK52" s="20">
        <v>3.5385252176145521E-3</v>
      </c>
    </row>
    <row r="53" spans="5:115" ht="15.75" x14ac:dyDescent="0.25">
      <c r="F53" s="1">
        <v>45</v>
      </c>
      <c r="G53" s="15">
        <v>4.3197961162835176E-2</v>
      </c>
      <c r="H53" s="15">
        <v>0.10371882578301302</v>
      </c>
      <c r="I53" s="15">
        <v>5.5552358662586815E-2</v>
      </c>
      <c r="J53" s="16">
        <v>0.19627617067774478</v>
      </c>
      <c r="K53" s="16">
        <v>7.5666222759951107E-2</v>
      </c>
      <c r="L53" s="16">
        <v>0.78766691310652515</v>
      </c>
      <c r="M53" s="17">
        <v>0.93555733487162229</v>
      </c>
      <c r="N53" s="17">
        <v>0.65224535115547722</v>
      </c>
      <c r="O53" s="17">
        <v>0.91473582685401655</v>
      </c>
      <c r="P53" s="18">
        <v>0.35998300969032099</v>
      </c>
      <c r="Q53" s="18">
        <v>0.86432354819175627</v>
      </c>
      <c r="R53" s="18">
        <v>0.42732583586606498</v>
      </c>
      <c r="S53" s="19">
        <v>3.7997791552057963E-4</v>
      </c>
      <c r="T53" s="19">
        <v>9.1367331812752806E-4</v>
      </c>
      <c r="U53" s="19">
        <v>4.8303718181674782E-4</v>
      </c>
      <c r="V53" s="20">
        <v>4.4064768677765098E-4</v>
      </c>
      <c r="W53" s="20">
        <v>6.1208667216805512E-4</v>
      </c>
      <c r="X53" s="20">
        <v>3.2487241482276334E-3</v>
      </c>
      <c r="AC53" s="1">
        <v>45</v>
      </c>
      <c r="AD53" s="15">
        <v>2.0532089045274645E-2</v>
      </c>
      <c r="AE53" s="15">
        <v>0.63924118016431453</v>
      </c>
      <c r="AF53" s="15">
        <v>1.3174894754588182</v>
      </c>
      <c r="AG53" s="16">
        <v>2.7031828604801966E-2</v>
      </c>
      <c r="AH53" s="16">
        <v>0.30243700243864746</v>
      </c>
      <c r="AI53" s="16">
        <v>0.69387148072376481</v>
      </c>
      <c r="AJ53" s="17">
        <v>1.1074497862960779</v>
      </c>
      <c r="AK53" s="17">
        <v>0.70957227622737307</v>
      </c>
      <c r="AL53" s="17">
        <v>0.81120138951001208</v>
      </c>
      <c r="AM53" s="18">
        <v>0.17700076763180805</v>
      </c>
      <c r="AN53" s="18">
        <v>0.33637663276626562</v>
      </c>
      <c r="AO53" s="18">
        <v>5.6797084522119685E-2</v>
      </c>
      <c r="AP53" s="19">
        <v>1.8154094130817813E-4</v>
      </c>
      <c r="AQ53" s="19">
        <v>1.1389976047301298E-3</v>
      </c>
      <c r="AR53" s="19">
        <v>1.8104246826299299E-3</v>
      </c>
      <c r="AS53" s="20">
        <v>1.6786582741290523E-5</v>
      </c>
      <c r="AT53" s="20">
        <v>2.9676738056896301E-3</v>
      </c>
      <c r="AU53" s="20">
        <v>2.3666656813506881E-3</v>
      </c>
      <c r="AZ53" s="1">
        <v>45</v>
      </c>
      <c r="BA53" s="15">
        <v>7.512221545239621E-2</v>
      </c>
      <c r="BB53" s="15">
        <v>0.76125955265109291</v>
      </c>
      <c r="BC53" s="15">
        <v>1.1461633060852214</v>
      </c>
      <c r="BD53" s="16">
        <v>0.97256508117119167</v>
      </c>
      <c r="BE53" s="16">
        <v>1.5228910057605061</v>
      </c>
      <c r="BF53" s="16">
        <v>6.0129408432574555E-2</v>
      </c>
      <c r="BG53" s="17">
        <v>0.48379459517221357</v>
      </c>
      <c r="BH53" s="17">
        <v>9.9610653643511626E-2</v>
      </c>
      <c r="BI53" s="17">
        <v>1.2331255405307526</v>
      </c>
      <c r="BJ53" s="18">
        <v>0.79917250481272661</v>
      </c>
      <c r="BK53" s="18">
        <v>1.560570411099665</v>
      </c>
      <c r="BL53" s="18">
        <v>0.80852280934458132</v>
      </c>
      <c r="BM53" s="19">
        <v>6.8009636853927358E-4</v>
      </c>
      <c r="BN53" s="19">
        <v>7.4100697616452649E-4</v>
      </c>
      <c r="BO53" s="19">
        <v>1.8784822843125326E-3</v>
      </c>
      <c r="BP53" s="20">
        <v>2.2187958196611124E-3</v>
      </c>
      <c r="BQ53" s="20">
        <v>2.4662742836434326E-3</v>
      </c>
      <c r="BR53" s="20">
        <v>4.1557085081143077E-3</v>
      </c>
      <c r="BV53" s="1">
        <v>45</v>
      </c>
      <c r="BW53" s="15">
        <v>2.1177183212012875E-2</v>
      </c>
      <c r="BX53" s="15">
        <v>0.4233241997477723</v>
      </c>
      <c r="BY53" s="15">
        <v>0.73320812250976297</v>
      </c>
      <c r="BZ53" s="16">
        <v>0.5121630213639724</v>
      </c>
      <c r="CA53" s="16">
        <v>1.2360367926745175</v>
      </c>
      <c r="CB53" s="16">
        <v>0.94488570937270067</v>
      </c>
      <c r="CC53" s="17">
        <v>0.83801499714170768</v>
      </c>
      <c r="CD53" s="17">
        <v>0.86943683073207079</v>
      </c>
      <c r="CE53" s="17">
        <v>0.16711802953612609</v>
      </c>
      <c r="CF53" s="18">
        <v>0.26144670632107792</v>
      </c>
      <c r="CG53" s="18">
        <v>0.43840844586215</v>
      </c>
      <c r="CH53" s="18">
        <v>0.26407635981431982</v>
      </c>
      <c r="CI53" s="19">
        <v>1.9457710776782378E-4</v>
      </c>
      <c r="CJ53" s="19">
        <v>1.2724633187799483E-5</v>
      </c>
      <c r="CK53" s="19">
        <v>9.7451114270741268E-4</v>
      </c>
      <c r="CL53" s="20">
        <v>1.432344311501188E-3</v>
      </c>
      <c r="CM53" s="20">
        <v>5.3374090309601385E-3</v>
      </c>
      <c r="CN53" s="20">
        <v>8.1091504545138804E-4</v>
      </c>
      <c r="CS53" s="1">
        <v>45</v>
      </c>
      <c r="CT53" s="15">
        <v>4.057039570523574E-2</v>
      </c>
      <c r="CU53" s="15">
        <v>0.61670594193033001</v>
      </c>
      <c r="CV53" s="15">
        <v>1.0525123789490478</v>
      </c>
      <c r="CW53" s="16">
        <v>0.71046130844360567</v>
      </c>
      <c r="CX53" s="16">
        <v>1.1275338876815668</v>
      </c>
      <c r="CY53" s="16">
        <v>0.10777057804479206</v>
      </c>
      <c r="CZ53" s="17">
        <v>0.94821653106743986</v>
      </c>
      <c r="DA53" s="17">
        <v>8.8858017030392311E-2</v>
      </c>
      <c r="DB53" s="17">
        <v>1.3875362333450345</v>
      </c>
      <c r="DC53" s="18">
        <v>0.52013327827225309</v>
      </c>
      <c r="DD53" s="18">
        <v>0.90015612706633752</v>
      </c>
      <c r="DE53" s="18">
        <v>0.48093907893394794</v>
      </c>
      <c r="DF53" s="19">
        <v>3.7390735270970143E-4</v>
      </c>
      <c r="DG53" s="19">
        <v>2.1390681488964169E-4</v>
      </c>
      <c r="DH53" s="19">
        <v>1.1933174363072396E-3</v>
      </c>
      <c r="DI53" s="20">
        <v>1.6565725287178701E-3</v>
      </c>
      <c r="DJ53" s="20">
        <v>1.5706928001859577E-3</v>
      </c>
      <c r="DK53" s="20">
        <v>3.5144257159839265E-3</v>
      </c>
    </row>
    <row r="54" spans="5:115" ht="15.75" x14ac:dyDescent="0.25">
      <c r="F54" s="1">
        <v>46</v>
      </c>
      <c r="G54" s="15">
        <v>7.620467340839604E-2</v>
      </c>
      <c r="H54" s="15">
        <v>9.817559230748156E-2</v>
      </c>
      <c r="I54" s="15">
        <v>2.8039775052222011E-2</v>
      </c>
      <c r="J54" s="16">
        <v>8.1241498095599454E-2</v>
      </c>
      <c r="K54" s="16">
        <v>0.13282347527321425</v>
      </c>
      <c r="L54" s="16">
        <v>0.58262159438762429</v>
      </c>
      <c r="M54" s="17">
        <v>1.0516202236311381</v>
      </c>
      <c r="N54" s="17">
        <v>0.54073236721706552</v>
      </c>
      <c r="O54" s="17">
        <v>0.86227543777343763</v>
      </c>
      <c r="P54" s="18">
        <v>0.63503894506998104</v>
      </c>
      <c r="Q54" s="18">
        <v>0.81812993589560523</v>
      </c>
      <c r="R54" s="18">
        <v>0.21569057732481003</v>
      </c>
      <c r="S54" s="19">
        <v>6.7009048572763696E-4</v>
      </c>
      <c r="T54" s="19">
        <v>8.6479422916252435E-4</v>
      </c>
      <c r="U54" s="19">
        <v>2.4387766020705917E-4</v>
      </c>
      <c r="V54" s="20">
        <v>1.4494980035473226E-5</v>
      </c>
      <c r="W54" s="20">
        <v>7.8807515401446704E-4</v>
      </c>
      <c r="X54" s="20">
        <v>2.3508711809575589E-3</v>
      </c>
      <c r="AC54" s="1">
        <v>46</v>
      </c>
      <c r="AD54" s="15">
        <v>1.9204782882226393E-2</v>
      </c>
      <c r="AE54" s="15">
        <v>0.63981152156173937</v>
      </c>
      <c r="AF54" s="15">
        <v>1.3187622419205569</v>
      </c>
      <c r="AG54" s="16">
        <v>6.0946629898094656E-2</v>
      </c>
      <c r="AH54" s="16">
        <v>0.32980345203780509</v>
      </c>
      <c r="AI54" s="16">
        <v>0.62098163028466224</v>
      </c>
      <c r="AJ54" s="17">
        <v>1.142477372740379</v>
      </c>
      <c r="AK54" s="17">
        <v>0.69455743260701275</v>
      </c>
      <c r="AL54" s="17">
        <v>0.83952743984895373</v>
      </c>
      <c r="AM54" s="18">
        <v>0.16555847312274974</v>
      </c>
      <c r="AN54" s="18">
        <v>0.33145989658158331</v>
      </c>
      <c r="AO54" s="18">
        <v>4.7006573277994984E-2</v>
      </c>
      <c r="AP54" s="19">
        <v>1.6980289095569479E-4</v>
      </c>
      <c r="AQ54" s="19">
        <v>1.1339298589302384E-3</v>
      </c>
      <c r="AR54" s="19">
        <v>1.7992269858945198E-3</v>
      </c>
      <c r="AS54" s="20">
        <v>1.0780207364347039E-4</v>
      </c>
      <c r="AT54" s="20">
        <v>3.055635006860236E-3</v>
      </c>
      <c r="AU54" s="20">
        <v>2.6474196832841912E-3</v>
      </c>
      <c r="AZ54" s="1">
        <v>46</v>
      </c>
      <c r="BA54" s="15">
        <v>8.2005624829931775E-2</v>
      </c>
      <c r="BB54" s="15">
        <v>0.75872187403076519</v>
      </c>
      <c r="BC54" s="15">
        <v>1.1503087261165197</v>
      </c>
      <c r="BD54" s="16">
        <v>0.91711453936498288</v>
      </c>
      <c r="BE54" s="16">
        <v>1.5196283195189038</v>
      </c>
      <c r="BF54" s="16">
        <v>9.1064583518768189E-3</v>
      </c>
      <c r="BG54" s="17">
        <v>0.5598910126549087</v>
      </c>
      <c r="BH54" s="17">
        <v>0.13636789727794479</v>
      </c>
      <c r="BI54" s="17">
        <v>1.2535991122155734</v>
      </c>
      <c r="BJ54" s="18">
        <v>0.87240026414812377</v>
      </c>
      <c r="BK54" s="18">
        <v>1.5329869478353135</v>
      </c>
      <c r="BL54" s="18">
        <v>0.76488680901525452</v>
      </c>
      <c r="BM54" s="19">
        <v>7.4236218221290784E-4</v>
      </c>
      <c r="BN54" s="19">
        <v>7.1776974395265647E-4</v>
      </c>
      <c r="BO54" s="19">
        <v>1.840608437849389E-3</v>
      </c>
      <c r="BP54" s="20">
        <v>2.0644721154557959E-3</v>
      </c>
      <c r="BQ54" s="20">
        <v>2.4638611849815417E-3</v>
      </c>
      <c r="BR54" s="20">
        <v>4.3660023687925875E-3</v>
      </c>
      <c r="BV54" s="1">
        <v>46</v>
      </c>
      <c r="BW54" s="15">
        <v>2.4684581855164849E-2</v>
      </c>
      <c r="BX54" s="15">
        <v>0.42231648914802616</v>
      </c>
      <c r="BY54" s="15">
        <v>0.73604694120255731</v>
      </c>
      <c r="BZ54" s="16">
        <v>0.55476842031841833</v>
      </c>
      <c r="CA54" s="16">
        <v>1.2650657710470934</v>
      </c>
      <c r="CB54" s="16">
        <v>0.86853736767822098</v>
      </c>
      <c r="CC54" s="17">
        <v>0.85574854878709938</v>
      </c>
      <c r="CD54" s="17">
        <v>0.86292443145935038</v>
      </c>
      <c r="CE54" s="17">
        <v>0.18551134835740729</v>
      </c>
      <c r="CF54" s="18">
        <v>0.30474792413773455</v>
      </c>
      <c r="CG54" s="18">
        <v>0.42641189110339955</v>
      </c>
      <c r="CH54" s="18">
        <v>0.23481018772365611</v>
      </c>
      <c r="CI54" s="19">
        <v>2.2679532377167799E-4</v>
      </c>
      <c r="CJ54" s="19">
        <v>3.4547275264973365E-6</v>
      </c>
      <c r="CK54" s="19">
        <v>9.4871439836829996E-4</v>
      </c>
      <c r="CL54" s="20">
        <v>1.5561228232671143E-3</v>
      </c>
      <c r="CM54" s="20">
        <v>5.4272719678114534E-3</v>
      </c>
      <c r="CN54" s="20">
        <v>5.0740800116155782E-4</v>
      </c>
      <c r="CS54" s="1">
        <v>46</v>
      </c>
      <c r="CT54" s="15">
        <v>3.9195165760990837E-2</v>
      </c>
      <c r="CU54" s="15">
        <v>0.61791881246104019</v>
      </c>
      <c r="CV54" s="15">
        <v>1.051658106943834</v>
      </c>
      <c r="CW54" s="16">
        <v>0.71732721264014698</v>
      </c>
      <c r="CX54" s="16">
        <v>1.1101187664068133</v>
      </c>
      <c r="CY54" s="16">
        <v>0.10673507489056967</v>
      </c>
      <c r="CZ54" s="17">
        <v>0.92499753893572834</v>
      </c>
      <c r="DA54" s="17">
        <v>8.2647499930713797E-2</v>
      </c>
      <c r="DB54" s="17">
        <v>1.3515342687866634</v>
      </c>
      <c r="DC54" s="18">
        <v>0.50250212514089021</v>
      </c>
      <c r="DD54" s="18">
        <v>0.91632773414261015</v>
      </c>
      <c r="DE54" s="18">
        <v>0.49203352056005051</v>
      </c>
      <c r="DF54" s="19">
        <v>3.612378405459804E-4</v>
      </c>
      <c r="DG54" s="19">
        <v>2.2519823351130341E-4</v>
      </c>
      <c r="DH54" s="19">
        <v>1.2012758682330427E-3</v>
      </c>
      <c r="DI54" s="20">
        <v>1.6769827302126616E-3</v>
      </c>
      <c r="DJ54" s="20">
        <v>1.5134097694964321E-3</v>
      </c>
      <c r="DK54" s="20">
        <v>3.5150675232893391E-3</v>
      </c>
    </row>
    <row r="55" spans="5:115" ht="15.75" x14ac:dyDescent="0.25">
      <c r="F55" s="1">
        <v>47</v>
      </c>
      <c r="G55" s="15">
        <v>4.8446782942100981E-2</v>
      </c>
      <c r="H55" s="15">
        <v>0.10481091811195074</v>
      </c>
      <c r="I55" s="15">
        <v>4.9807170053786196E-2</v>
      </c>
      <c r="J55" s="16">
        <v>0.15169066258165473</v>
      </c>
      <c r="K55" s="16">
        <v>8.7871828480965392E-2</v>
      </c>
      <c r="L55" s="16">
        <v>0.71803257271021492</v>
      </c>
      <c r="M55" s="17">
        <v>0.92243081190671994</v>
      </c>
      <c r="N55" s="17">
        <v>0.6112627677154403</v>
      </c>
      <c r="O55" s="17">
        <v>0.83180639056308048</v>
      </c>
      <c r="P55" s="18">
        <v>0.40372319118420269</v>
      </c>
      <c r="Q55" s="18">
        <v>0.873424317599515</v>
      </c>
      <c r="R55" s="18">
        <v>0.38313207733682952</v>
      </c>
      <c r="S55" s="19">
        <v>4.2612524591756351E-4</v>
      </c>
      <c r="T55" s="19">
        <v>9.2330380257754641E-4</v>
      </c>
      <c r="U55" s="19">
        <v>4.331066612967005E-4</v>
      </c>
      <c r="V55" s="20">
        <v>2.9718605436712675E-4</v>
      </c>
      <c r="W55" s="20">
        <v>6.5744983013849012E-4</v>
      </c>
      <c r="X55" s="20">
        <v>2.9574516219345037E-3</v>
      </c>
      <c r="AC55" s="1">
        <v>47</v>
      </c>
      <c r="AD55" s="15">
        <v>2.3362519859582518E-2</v>
      </c>
      <c r="AE55" s="15">
        <v>0.64012919684072045</v>
      </c>
      <c r="AF55" s="15">
        <v>1.3146665119974528</v>
      </c>
      <c r="AG55" s="16">
        <v>1.4391469717742383E-2</v>
      </c>
      <c r="AH55" s="16">
        <v>0.30366725817725193</v>
      </c>
      <c r="AI55" s="16">
        <v>0.70209388965707742</v>
      </c>
      <c r="AJ55" s="17">
        <v>1.0763264767029097</v>
      </c>
      <c r="AK55" s="17">
        <v>0.72002031894920693</v>
      </c>
      <c r="AL55" s="17">
        <v>0.79512887803106558</v>
      </c>
      <c r="AM55" s="18">
        <v>0.2014010332724365</v>
      </c>
      <c r="AN55" s="18">
        <v>0.32872131659036724</v>
      </c>
      <c r="AO55" s="18">
        <v>7.8512188071141062E-2</v>
      </c>
      <c r="AP55" s="19">
        <v>2.0657293620218731E-4</v>
      </c>
      <c r="AQ55" s="19">
        <v>1.131107142647747E-3</v>
      </c>
      <c r="AR55" s="19">
        <v>1.8352598568350809E-3</v>
      </c>
      <c r="AS55" s="20">
        <v>2.3169900053909842E-5</v>
      </c>
      <c r="AT55" s="20">
        <v>2.9743687815734221E-3</v>
      </c>
      <c r="AU55" s="20">
        <v>2.3247771358507747E-3</v>
      </c>
      <c r="AZ55" s="1">
        <v>47</v>
      </c>
      <c r="BA55" s="15">
        <v>7.5357268125364363E-2</v>
      </c>
      <c r="BB55" s="15">
        <v>0.76069252803540544</v>
      </c>
      <c r="BC55" s="15">
        <v>1.1466244890642068</v>
      </c>
      <c r="BD55" s="16">
        <v>0.93377430347377377</v>
      </c>
      <c r="BE55" s="16">
        <v>1.5267256326747642</v>
      </c>
      <c r="BF55" s="16">
        <v>3.6865242530887785E-2</v>
      </c>
      <c r="BG55" s="17">
        <v>0.55562310934422077</v>
      </c>
      <c r="BH55" s="17">
        <v>0.11686170494720688</v>
      </c>
      <c r="BI55" s="17">
        <v>1.284024264219171</v>
      </c>
      <c r="BJ55" s="18">
        <v>0.80167306516333481</v>
      </c>
      <c r="BK55" s="18">
        <v>1.5544071000595845</v>
      </c>
      <c r="BL55" s="18">
        <v>0.80366825167126876</v>
      </c>
      <c r="BM55" s="19">
        <v>6.8222274479257106E-4</v>
      </c>
      <c r="BN55" s="19">
        <v>7.3581469365702201E-4</v>
      </c>
      <c r="BO55" s="19">
        <v>1.8742689302436721E-3</v>
      </c>
      <c r="BP55" s="20">
        <v>2.1222601283907845E-3</v>
      </c>
      <c r="BQ55" s="20">
        <v>2.4805276522493758E-3</v>
      </c>
      <c r="BR55" s="20">
        <v>4.2460991916836175E-3</v>
      </c>
      <c r="BV55" s="1">
        <v>47</v>
      </c>
      <c r="BW55" s="15">
        <v>2.0622357830374884E-2</v>
      </c>
      <c r="BX55" s="15">
        <v>0.42102636185017484</v>
      </c>
      <c r="BY55" s="15">
        <v>0.73385775943275977</v>
      </c>
      <c r="BZ55" s="16">
        <v>0.50858829423057417</v>
      </c>
      <c r="CA55" s="16">
        <v>1.2405090062084339</v>
      </c>
      <c r="CB55" s="16">
        <v>1.0093287217228364</v>
      </c>
      <c r="CC55" s="17">
        <v>0.9104681287106644</v>
      </c>
      <c r="CD55" s="17">
        <v>0.88886199052586701</v>
      </c>
      <c r="CE55" s="17">
        <v>0.27207150458663965</v>
      </c>
      <c r="CF55" s="18">
        <v>0.25459701025154191</v>
      </c>
      <c r="CG55" s="18">
        <v>0.4110532327956235</v>
      </c>
      <c r="CH55" s="18">
        <v>0.2573790719483311</v>
      </c>
      <c r="CI55" s="19">
        <v>1.8948039313648746E-4</v>
      </c>
      <c r="CJ55" s="19">
        <v>8.4128487167767219E-6</v>
      </c>
      <c r="CK55" s="19">
        <v>9.6860793089903474E-4</v>
      </c>
      <c r="CL55" s="20">
        <v>1.4212624676740448E-3</v>
      </c>
      <c r="CM55" s="20">
        <v>5.3442636302537538E-3</v>
      </c>
      <c r="CN55" s="20">
        <v>1.0555820198835386E-3</v>
      </c>
      <c r="CS55" s="1">
        <v>47</v>
      </c>
      <c r="CT55" s="15">
        <v>4.1401564088812591E-2</v>
      </c>
      <c r="CU55" s="15">
        <v>0.61746421389860751</v>
      </c>
      <c r="CV55" s="15">
        <v>1.0534966672474186</v>
      </c>
      <c r="CW55" s="16">
        <v>0.69925485851091962</v>
      </c>
      <c r="CX55" s="16">
        <v>1.1198452558969805</v>
      </c>
      <c r="CY55" s="16">
        <v>0.10233006371171412</v>
      </c>
      <c r="CZ55" s="17">
        <v>0.91387833222325709</v>
      </c>
      <c r="DA55" s="17">
        <v>7.8769647693191724E-2</v>
      </c>
      <c r="DB55" s="17">
        <v>1.3297565367124653</v>
      </c>
      <c r="DC55" s="18">
        <v>0.53078928318997665</v>
      </c>
      <c r="DD55" s="18">
        <v>0.91026641997672997</v>
      </c>
      <c r="DE55" s="18">
        <v>0.46815611402015167</v>
      </c>
      <c r="DF55" s="19">
        <v>3.8156444724968264E-4</v>
      </c>
      <c r="DG55" s="19">
        <v>2.2096604078536419E-4</v>
      </c>
      <c r="DH55" s="19">
        <v>1.1841475970461035E-3</v>
      </c>
      <c r="DI55" s="20">
        <v>1.6267803484689702E-3</v>
      </c>
      <c r="DJ55" s="20">
        <v>1.5447208724181927E-3</v>
      </c>
      <c r="DK55" s="20">
        <v>3.5382854065579838E-3</v>
      </c>
    </row>
    <row r="56" spans="5:115" ht="15.75" x14ac:dyDescent="0.25">
      <c r="F56" s="1">
        <v>48</v>
      </c>
      <c r="G56" s="15">
        <v>5.1718764888611379E-2</v>
      </c>
      <c r="H56" s="15">
        <v>0.10184556090582918</v>
      </c>
      <c r="I56" s="15">
        <v>4.7932363050024379E-2</v>
      </c>
      <c r="J56" s="16">
        <v>0.14722937137051975</v>
      </c>
      <c r="K56" s="16">
        <v>6.9362179669489959E-2</v>
      </c>
      <c r="L56" s="16">
        <v>0.75693245907711804</v>
      </c>
      <c r="M56" s="17">
        <v>0.98246625699507717</v>
      </c>
      <c r="N56" s="17">
        <v>0.62414552237039123</v>
      </c>
      <c r="O56" s="17">
        <v>0.91783371109891221</v>
      </c>
      <c r="P56" s="18">
        <v>0.43098970740505321</v>
      </c>
      <c r="Q56" s="18">
        <v>0.84871300754868728</v>
      </c>
      <c r="R56" s="18">
        <v>0.36871048500021281</v>
      </c>
      <c r="S56" s="19">
        <v>4.5488986759867345E-4</v>
      </c>
      <c r="T56" s="19">
        <v>8.9715464815487422E-4</v>
      </c>
      <c r="U56" s="19">
        <v>4.1681177080399312E-4</v>
      </c>
      <c r="V56" s="20">
        <v>2.7491780503596797E-4</v>
      </c>
      <c r="W56" s="20">
        <v>5.8418323658937499E-4</v>
      </c>
      <c r="X56" s="20">
        <v>3.1006446510652985E-3</v>
      </c>
      <c r="AC56" s="1">
        <v>48</v>
      </c>
      <c r="AD56" s="15">
        <v>1.9886482963931942E-2</v>
      </c>
      <c r="AE56" s="15">
        <v>0.63873023585239708</v>
      </c>
      <c r="AF56" s="15">
        <v>1.3239852307767921</v>
      </c>
      <c r="AG56" s="16">
        <v>3.3959518810201865E-2</v>
      </c>
      <c r="AH56" s="16">
        <v>0.30025241657809387</v>
      </c>
      <c r="AI56" s="16">
        <v>0.6949743294098859</v>
      </c>
      <c r="AJ56" s="17">
        <v>1.2154472353315122</v>
      </c>
      <c r="AK56" s="17">
        <v>0.7136914101815981</v>
      </c>
      <c r="AL56" s="17">
        <v>0.94273000093866244</v>
      </c>
      <c r="AM56" s="18">
        <v>0.17143519796499562</v>
      </c>
      <c r="AN56" s="18">
        <v>0.34078132511045389</v>
      </c>
      <c r="AO56" s="18">
        <v>6.8297359222259926E-3</v>
      </c>
      <c r="AP56" s="19">
        <v>1.7583147609800953E-4</v>
      </c>
      <c r="AQ56" s="19">
        <v>1.1435375306837472E-3</v>
      </c>
      <c r="AR56" s="19">
        <v>1.7532725260084314E-3</v>
      </c>
      <c r="AS56" s="20">
        <v>3.6345465139642201E-5</v>
      </c>
      <c r="AT56" s="20">
        <v>2.9591729005523648E-3</v>
      </c>
      <c r="AU56" s="20">
        <v>2.3872408988175886E-3</v>
      </c>
      <c r="AZ56" s="1">
        <v>48</v>
      </c>
      <c r="BA56" s="15">
        <v>6.8910732321678381E-2</v>
      </c>
      <c r="BB56" s="15">
        <v>0.76039366802499553</v>
      </c>
      <c r="BC56" s="15">
        <v>1.1418705801386926</v>
      </c>
      <c r="BD56" s="16">
        <v>1.0341811369903622</v>
      </c>
      <c r="BE56" s="16">
        <v>1.6867928077017633</v>
      </c>
      <c r="BF56" s="16">
        <v>0.20775631850826196</v>
      </c>
      <c r="BG56" s="17">
        <v>0.52694341737099193</v>
      </c>
      <c r="BH56" s="17">
        <v>6.624048828719957E-2</v>
      </c>
      <c r="BI56" s="17">
        <v>1.328011495856517</v>
      </c>
      <c r="BJ56" s="18">
        <v>0.73309289703900105</v>
      </c>
      <c r="BK56" s="18">
        <v>1.5511586216855828</v>
      </c>
      <c r="BL56" s="18">
        <v>0.85370939825540926</v>
      </c>
      <c r="BM56" s="19">
        <v>6.2390129987954779E-4</v>
      </c>
      <c r="BN56" s="19">
        <v>7.3307803633770874E-4</v>
      </c>
      <c r="BO56" s="19">
        <v>1.917698615783836E-3</v>
      </c>
      <c r="BP56" s="20">
        <v>2.3867253638975017E-3</v>
      </c>
      <c r="BQ56" s="20">
        <v>3.0004386628390556E-3</v>
      </c>
      <c r="BR56" s="20">
        <v>3.5764652365690712E-3</v>
      </c>
      <c r="BV56" s="1">
        <v>48</v>
      </c>
      <c r="BW56" s="15">
        <v>0.17381595575714975</v>
      </c>
      <c r="BX56" s="15">
        <v>0.39914858355824284</v>
      </c>
      <c r="BY56" s="15">
        <v>0.89879514970752938</v>
      </c>
      <c r="BZ56" s="16">
        <v>0.42183935856432603</v>
      </c>
      <c r="CA56" s="16">
        <v>1.6521923277554473</v>
      </c>
      <c r="CB56" s="16">
        <v>0.29933760530513182</v>
      </c>
      <c r="CC56" s="17">
        <v>1.5933015661532282</v>
      </c>
      <c r="CD56" s="17">
        <v>0.37473489814095506</v>
      </c>
      <c r="CE56" s="17">
        <v>9.0181882880835187E-2</v>
      </c>
      <c r="CF56" s="18">
        <v>2.1458759970018328</v>
      </c>
      <c r="CG56" s="18">
        <v>0.15060349122484992</v>
      </c>
      <c r="CH56" s="18">
        <v>1.4430063948018432</v>
      </c>
      <c r="CI56" s="19">
        <v>1.5945969694453055E-3</v>
      </c>
      <c r="CJ56" s="19">
        <v>2.0961455107149085E-4</v>
      </c>
      <c r="CK56" s="19">
        <v>5.3267254271927023E-4</v>
      </c>
      <c r="CL56" s="20">
        <v>1.5972500181847815E-3</v>
      </c>
      <c r="CM56" s="20">
        <v>6.5929789385933413E-3</v>
      </c>
      <c r="CN56" s="20">
        <v>2.2926889476613255E-3</v>
      </c>
      <c r="CS56" s="1">
        <v>48</v>
      </c>
      <c r="CT56" s="15">
        <v>3.75472182152315E-2</v>
      </c>
      <c r="CU56" s="15">
        <v>0.61867412887773598</v>
      </c>
      <c r="CV56" s="15">
        <v>1.0501290556027258</v>
      </c>
      <c r="CW56" s="16">
        <v>0.69907215165353531</v>
      </c>
      <c r="CX56" s="16">
        <v>1.1216316120155783</v>
      </c>
      <c r="CY56" s="16">
        <v>0.10527546506914465</v>
      </c>
      <c r="CZ56" s="17">
        <v>0.88771626324702024</v>
      </c>
      <c r="DA56" s="17">
        <v>8.1319257188075256E-2</v>
      </c>
      <c r="DB56" s="17">
        <v>1.3035021478046331</v>
      </c>
      <c r="DC56" s="18">
        <v>0.48137459250287828</v>
      </c>
      <c r="DD56" s="18">
        <v>0.92639861969856641</v>
      </c>
      <c r="DE56" s="18">
        <v>0.51189133018488442</v>
      </c>
      <c r="DF56" s="19">
        <v>3.4605541776167037E-4</v>
      </c>
      <c r="DG56" s="19">
        <v>2.3223011576123387E-4</v>
      </c>
      <c r="DH56" s="19">
        <v>1.2155202281489697E-3</v>
      </c>
      <c r="DI56" s="20">
        <v>1.6359261836507155E-3</v>
      </c>
      <c r="DJ56" s="20">
        <v>1.546512914116005E-3</v>
      </c>
      <c r="DK56" s="20">
        <v>3.5147558725148187E-3</v>
      </c>
    </row>
    <row r="57" spans="5:115" ht="15.75" x14ac:dyDescent="0.25">
      <c r="F57" s="1">
        <v>49</v>
      </c>
      <c r="G57" s="15">
        <v>3.4730007546919898E-2</v>
      </c>
      <c r="H57" s="15">
        <v>0.11321933450863515</v>
      </c>
      <c r="I57" s="15">
        <v>4.5012337719598686E-2</v>
      </c>
      <c r="J57" s="16">
        <v>0.14839026399308614</v>
      </c>
      <c r="K57" s="16">
        <v>8.6359954109855988E-2</v>
      </c>
      <c r="L57" s="16">
        <v>0.71006675920131079</v>
      </c>
      <c r="M57" s="17">
        <v>0.93829045707979397</v>
      </c>
      <c r="N57" s="17">
        <v>0.62367370196764194</v>
      </c>
      <c r="O57" s="17">
        <v>0.87184259804266961</v>
      </c>
      <c r="P57" s="18">
        <v>0.28941672955769371</v>
      </c>
      <c r="Q57" s="18">
        <v>0.94349445423855172</v>
      </c>
      <c r="R57" s="18">
        <v>0.34624875168928404</v>
      </c>
      <c r="S57" s="19">
        <v>3.0551796000233272E-4</v>
      </c>
      <c r="T57" s="19">
        <v>9.9745946063922709E-4</v>
      </c>
      <c r="U57" s="19">
        <v>3.9143114585116207E-4</v>
      </c>
      <c r="V57" s="20">
        <v>3.2721292915904865E-4</v>
      </c>
      <c r="W57" s="20">
        <v>6.8102925023583172E-4</v>
      </c>
      <c r="X57" s="20">
        <v>2.9082715341668397E-3</v>
      </c>
      <c r="AC57" s="1">
        <v>49</v>
      </c>
      <c r="AD57" s="15">
        <v>2.6576067148845143E-3</v>
      </c>
      <c r="AE57" s="15">
        <v>0.63050804604754229</v>
      </c>
      <c r="AF57" s="15">
        <v>1.3305360395461825</v>
      </c>
      <c r="AG57" s="16">
        <v>0.10784959654695125</v>
      </c>
      <c r="AH57" s="16">
        <v>0.313213348003817</v>
      </c>
      <c r="AI57" s="16">
        <v>0.60484425536153652</v>
      </c>
      <c r="AJ57" s="17">
        <v>1.2172467757173213</v>
      </c>
      <c r="AK57" s="17">
        <v>0.66572486962684752</v>
      </c>
      <c r="AL57" s="17">
        <v>0.86557765565822031</v>
      </c>
      <c r="AM57" s="18">
        <v>2.2910402714305094E-2</v>
      </c>
      <c r="AN57" s="18">
        <v>0.41166227170400083</v>
      </c>
      <c r="AO57" s="18">
        <v>4.356110076529747E-2</v>
      </c>
      <c r="AP57" s="19">
        <v>2.3492619017906335E-5</v>
      </c>
      <c r="AQ57" s="19">
        <v>1.2165882554295848E-3</v>
      </c>
      <c r="AR57" s="19">
        <v>1.6956283669339323E-3</v>
      </c>
      <c r="AS57" s="20">
        <v>2.853257877551974E-4</v>
      </c>
      <c r="AT57" s="20">
        <v>2.9738448361706915E-3</v>
      </c>
      <c r="AU57" s="20">
        <v>2.753357590399963E-3</v>
      </c>
      <c r="AZ57" s="1">
        <v>49</v>
      </c>
      <c r="BA57" s="15">
        <v>6.9361136185238578E-2</v>
      </c>
      <c r="BB57" s="15">
        <v>0.76036262969872259</v>
      </c>
      <c r="BC57" s="15">
        <v>1.1423434737849436</v>
      </c>
      <c r="BD57" s="16">
        <v>0.94732229909389909</v>
      </c>
      <c r="BE57" s="16">
        <v>1.6102711433918084</v>
      </c>
      <c r="BF57" s="16">
        <v>2.8808547124130314E-2</v>
      </c>
      <c r="BG57" s="17">
        <v>0.63189275514947396</v>
      </c>
      <c r="BH57" s="17">
        <v>8.969426396169658E-2</v>
      </c>
      <c r="BI57" s="17">
        <v>1.4283122841590845</v>
      </c>
      <c r="BJ57" s="18">
        <v>0.73788442750242222</v>
      </c>
      <c r="BK57" s="18">
        <v>1.5508212485738411</v>
      </c>
      <c r="BL57" s="18">
        <v>0.84873157040031111</v>
      </c>
      <c r="BM57" s="19">
        <v>6.2797632232591827E-4</v>
      </c>
      <c r="BN57" s="19">
        <v>7.3279381972302104E-4</v>
      </c>
      <c r="BO57" s="19">
        <v>1.9133786480911574E-3</v>
      </c>
      <c r="BP57" s="20">
        <v>2.1707322011617065E-3</v>
      </c>
      <c r="BQ57" s="20">
        <v>2.7524226440924782E-3</v>
      </c>
      <c r="BR57" s="20">
        <v>4.2602957130483121E-3</v>
      </c>
      <c r="BV57" s="1">
        <v>49</v>
      </c>
      <c r="BW57" s="15">
        <v>2.0471744832283839E-2</v>
      </c>
      <c r="BX57" s="15">
        <v>0.42104685292556593</v>
      </c>
      <c r="BY57" s="15">
        <v>0.73307290166004924</v>
      </c>
      <c r="BZ57" s="16">
        <v>0.50246869003405981</v>
      </c>
      <c r="CA57" s="16">
        <v>1.239482315672068</v>
      </c>
      <c r="CB57" s="16">
        <v>1.0051781309696033</v>
      </c>
      <c r="CC57" s="17">
        <v>0.92145390320801013</v>
      </c>
      <c r="CD57" s="17">
        <v>0.88104748552461898</v>
      </c>
      <c r="CE57" s="17">
        <v>0.26988818457108216</v>
      </c>
      <c r="CF57" s="18">
        <v>0.25273759052202283</v>
      </c>
      <c r="CG57" s="18">
        <v>0.41129717416919509</v>
      </c>
      <c r="CH57" s="18">
        <v>0.26547038919292482</v>
      </c>
      <c r="CI57" s="19">
        <v>1.8809682830600583E-4</v>
      </c>
      <c r="CJ57" s="19">
        <v>8.2243585581842638E-6</v>
      </c>
      <c r="CK57" s="19">
        <v>9.7573987675447782E-4</v>
      </c>
      <c r="CL57" s="20">
        <v>1.4044260819096044E-3</v>
      </c>
      <c r="CM57" s="20">
        <v>5.3410358825053406E-3</v>
      </c>
      <c r="CN57" s="20">
        <v>1.0426622650120398E-3</v>
      </c>
      <c r="CS57" s="1">
        <v>49</v>
      </c>
      <c r="CT57" s="15">
        <v>4.0143352273146568E-2</v>
      </c>
      <c r="CU57" s="15">
        <v>0.61781325883892546</v>
      </c>
      <c r="CV57" s="15">
        <v>1.0524724766066198</v>
      </c>
      <c r="CW57" s="16">
        <v>0.69881756524558425</v>
      </c>
      <c r="CX57" s="16">
        <v>1.1137674118376708</v>
      </c>
      <c r="CY57" s="16">
        <v>8.7091687113739338E-2</v>
      </c>
      <c r="CZ57" s="17">
        <v>0.90597887756274276</v>
      </c>
      <c r="DA57" s="17">
        <v>8.5089621966688192E-2</v>
      </c>
      <c r="DB57" s="17">
        <v>1.335418037309152</v>
      </c>
      <c r="DC57" s="18">
        <v>0.51465836247623808</v>
      </c>
      <c r="DD57" s="18">
        <v>0.91492035251421588</v>
      </c>
      <c r="DE57" s="18">
        <v>0.48145729117323854</v>
      </c>
      <c r="DF57" s="19">
        <v>3.6997318831810677E-4</v>
      </c>
      <c r="DG57" s="19">
        <v>2.2421555367557744E-4</v>
      </c>
      <c r="DH57" s="19">
        <v>1.193689171173351E-3</v>
      </c>
      <c r="DI57" s="20">
        <v>1.6288316007181391E-3</v>
      </c>
      <c r="DJ57" s="20">
        <v>1.5249564247570291E-3</v>
      </c>
      <c r="DK57" s="20">
        <v>3.59095462188741E-3</v>
      </c>
    </row>
    <row r="58" spans="5:115" ht="15.75" x14ac:dyDescent="0.25">
      <c r="F58" s="1">
        <v>50</v>
      </c>
      <c r="G58" s="15">
        <v>5.3765523699027346E-2</v>
      </c>
      <c r="H58" s="15">
        <v>0.10324901881882395</v>
      </c>
      <c r="I58" s="15">
        <v>5.0270713116012757E-2</v>
      </c>
      <c r="J58" s="16">
        <v>0.13348458982531966</v>
      </c>
      <c r="K58" s="16">
        <v>0.10719726701864817</v>
      </c>
      <c r="L58" s="16">
        <v>0.67751829562112265</v>
      </c>
      <c r="M58" s="17">
        <v>0.93271366350278984</v>
      </c>
      <c r="N58" s="17">
        <v>0.58849519038369547</v>
      </c>
      <c r="O58" s="17">
        <v>0.81134154320371987</v>
      </c>
      <c r="P58" s="18">
        <v>0.44804603082524186</v>
      </c>
      <c r="Q58" s="18">
        <v>0.86040849015686593</v>
      </c>
      <c r="R58" s="18">
        <v>0.38669779320012349</v>
      </c>
      <c r="S58" s="19">
        <v>4.7288236087361657E-4</v>
      </c>
      <c r="T58" s="19">
        <v>9.0953044686781226E-4</v>
      </c>
      <c r="U58" s="19">
        <v>4.371354529998373E-4</v>
      </c>
      <c r="V58" s="20">
        <v>2.2946019132985551E-4</v>
      </c>
      <c r="W58" s="20">
        <v>7.1802359684280948E-4</v>
      </c>
      <c r="X58" s="20">
        <v>2.8026616885228339E-3</v>
      </c>
      <c r="AC58" s="1">
        <v>50</v>
      </c>
      <c r="AD58" s="15">
        <v>1.3354303508281921E-2</v>
      </c>
      <c r="AE58" s="15">
        <v>0.64790478774653826</v>
      </c>
      <c r="AF58" s="15">
        <v>1.3433162310322344</v>
      </c>
      <c r="AG58" s="16">
        <v>2.0574152339461107E-2</v>
      </c>
      <c r="AH58" s="16">
        <v>0.43314582452426847</v>
      </c>
      <c r="AI58" s="16">
        <v>0.50247939605670644</v>
      </c>
      <c r="AJ58" s="17">
        <v>1.1066685846766293</v>
      </c>
      <c r="AK58" s="17">
        <v>0.70119839764935621</v>
      </c>
      <c r="AL58" s="17">
        <v>0.83205657996534255</v>
      </c>
      <c r="AM58" s="18">
        <v>0.11512330610605197</v>
      </c>
      <c r="AN58" s="18">
        <v>0.26169036050573102</v>
      </c>
      <c r="AO58" s="18">
        <v>0.14187026604258243</v>
      </c>
      <c r="AP58" s="19">
        <v>1.1806781014722656E-4</v>
      </c>
      <c r="AQ58" s="19">
        <v>1.062011193340817E-3</v>
      </c>
      <c r="AR58" s="19">
        <v>1.5831464172706422E-3</v>
      </c>
      <c r="AS58" s="20">
        <v>8.762037394816069E-5</v>
      </c>
      <c r="AT58" s="20">
        <v>3.4066507812585689E-3</v>
      </c>
      <c r="AU58" s="20">
        <v>3.189273874191767E-3</v>
      </c>
      <c r="AZ58" s="1">
        <v>50</v>
      </c>
      <c r="BA58" s="15">
        <v>8.0474863598018864E-2</v>
      </c>
      <c r="BB58" s="15">
        <v>0.75932575656998369</v>
      </c>
      <c r="BC58" s="15">
        <v>1.1496704353781937</v>
      </c>
      <c r="BD58" s="16">
        <v>0.87936955000770411</v>
      </c>
      <c r="BE58" s="16">
        <v>1.5089551727046067</v>
      </c>
      <c r="BF58" s="16">
        <v>3.988282493277797E-2</v>
      </c>
      <c r="BG58" s="17">
        <v>0.5808613184748781</v>
      </c>
      <c r="BH58" s="17">
        <v>0.13497205773475984</v>
      </c>
      <c r="BI58" s="17">
        <v>1.2893482315329057</v>
      </c>
      <c r="BJ58" s="18">
        <v>0.85611557019148654</v>
      </c>
      <c r="BK58" s="18">
        <v>1.5395508884789531</v>
      </c>
      <c r="BL58" s="18">
        <v>0.77160565889241395</v>
      </c>
      <c r="BM58" s="19">
        <v>7.2851599194700967E-4</v>
      </c>
      <c r="BN58" s="19">
        <v>7.2329931938541758E-4</v>
      </c>
      <c r="BO58" s="19">
        <v>1.8464402674184255E-3</v>
      </c>
      <c r="BP58" s="20">
        <v>1.974938063399545E-3</v>
      </c>
      <c r="BQ58" s="20">
        <v>2.4273242476445804E-3</v>
      </c>
      <c r="BR58" s="20">
        <v>4.5500493774344166E-3</v>
      </c>
      <c r="BV58" s="1">
        <v>50</v>
      </c>
      <c r="BW58" s="15">
        <v>1.9994704222268254E-2</v>
      </c>
      <c r="BX58" s="15">
        <v>0.42251783651760866</v>
      </c>
      <c r="BY58" s="15">
        <v>0.73470517425202353</v>
      </c>
      <c r="BZ58" s="16">
        <v>0.51969605587384349</v>
      </c>
      <c r="CA58" s="16">
        <v>1.2434196824643455</v>
      </c>
      <c r="CB58" s="16">
        <v>0.97989619164630892</v>
      </c>
      <c r="CC58" s="17">
        <v>0.89014689503024313</v>
      </c>
      <c r="CD58" s="17">
        <v>0.87783388241279903</v>
      </c>
      <c r="CE58" s="17">
        <v>0.23217751703372486</v>
      </c>
      <c r="CF58" s="18">
        <v>0.24684820027491683</v>
      </c>
      <c r="CG58" s="18">
        <v>0.42880888359827518</v>
      </c>
      <c r="CH58" s="18">
        <v>0.24864283669835821</v>
      </c>
      <c r="CI58" s="19">
        <v>1.8371459861199479E-4</v>
      </c>
      <c r="CJ58" s="19">
        <v>5.3069021560547824E-6</v>
      </c>
      <c r="CK58" s="19">
        <v>9.609074070612289E-4</v>
      </c>
      <c r="CL58" s="20">
        <v>1.4494155548225862E-3</v>
      </c>
      <c r="CM58" s="20">
        <v>5.3584698746838022E-3</v>
      </c>
      <c r="CN58" s="20">
        <v>9.3944394677392129E-4</v>
      </c>
      <c r="CS58" s="1">
        <v>50</v>
      </c>
      <c r="CT58" s="15">
        <v>3.9051109075614515E-2</v>
      </c>
      <c r="CU58" s="15">
        <v>0.62102446957382285</v>
      </c>
      <c r="CV58" s="15">
        <v>1.0596642936955014</v>
      </c>
      <c r="CW58" s="16">
        <v>0.6718709984889687</v>
      </c>
      <c r="CX58" s="16">
        <v>1.1654930620915358</v>
      </c>
      <c r="CY58" s="16">
        <v>0.14225983735039172</v>
      </c>
      <c r="CZ58" s="17">
        <v>0.88338024484146593</v>
      </c>
      <c r="DA58" s="17">
        <v>8.1022899945008595E-2</v>
      </c>
      <c r="DB58" s="17">
        <v>1.2883447191466639</v>
      </c>
      <c r="DC58" s="18">
        <v>0.50065524455923205</v>
      </c>
      <c r="DD58" s="18">
        <v>0.95773649564640395</v>
      </c>
      <c r="DE58" s="18">
        <v>0.38805706923970978</v>
      </c>
      <c r="DF58" s="19">
        <v>3.5991067656637732E-4</v>
      </c>
      <c r="DG58" s="19">
        <v>2.5411211798720412E-4</v>
      </c>
      <c r="DH58" s="19">
        <v>1.1266845230535338E-3</v>
      </c>
      <c r="DI58" s="20">
        <v>1.5648912458556818E-3</v>
      </c>
      <c r="DJ58" s="20">
        <v>1.6742520538501893E-3</v>
      </c>
      <c r="DK58" s="20">
        <v>3.4132872576272399E-3</v>
      </c>
    </row>
    <row r="60" spans="5:115" x14ac:dyDescent="0.25">
      <c r="E60" t="s">
        <v>14</v>
      </c>
      <c r="G60" s="24" t="s">
        <v>24</v>
      </c>
      <c r="H60" s="24" t="s">
        <v>25</v>
      </c>
      <c r="I60" s="24" t="s">
        <v>26</v>
      </c>
      <c r="J60" s="24" t="s">
        <v>4</v>
      </c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AB60" t="s">
        <v>15</v>
      </c>
      <c r="AD60" s="24" t="s">
        <v>24</v>
      </c>
      <c r="AE60" s="24" t="s">
        <v>25</v>
      </c>
      <c r="AF60" s="24" t="s">
        <v>26</v>
      </c>
      <c r="AG60" s="24" t="s">
        <v>4</v>
      </c>
      <c r="AH60" s="22"/>
      <c r="AI60" s="22"/>
      <c r="AY60" t="s">
        <v>16</v>
      </c>
      <c r="BA60" s="24" t="s">
        <v>24</v>
      </c>
      <c r="BB60" s="24" t="s">
        <v>25</v>
      </c>
      <c r="BC60" s="24" t="s">
        <v>26</v>
      </c>
      <c r="BD60" s="24" t="s">
        <v>4</v>
      </c>
      <c r="BE60" s="22"/>
      <c r="BF60" s="22"/>
      <c r="BU60" t="s">
        <v>17</v>
      </c>
      <c r="BW60" s="24" t="s">
        <v>24</v>
      </c>
      <c r="BX60" s="24" t="s">
        <v>25</v>
      </c>
      <c r="BY60" s="24" t="s">
        <v>26</v>
      </c>
      <c r="BZ60" s="24" t="s">
        <v>4</v>
      </c>
      <c r="CA60" s="22"/>
      <c r="CB60" s="22"/>
      <c r="CR60" t="s">
        <v>18</v>
      </c>
      <c r="CT60" s="24" t="s">
        <v>24</v>
      </c>
      <c r="CU60" s="24" t="s">
        <v>25</v>
      </c>
      <c r="CV60" s="24" t="s">
        <v>26</v>
      </c>
      <c r="CW60" s="24" t="s">
        <v>4</v>
      </c>
      <c r="CX60" s="22"/>
      <c r="CY60" s="22"/>
    </row>
    <row r="61" spans="5:115" ht="15.75" x14ac:dyDescent="0.25">
      <c r="F61" s="23">
        <v>1</v>
      </c>
      <c r="G61" s="26">
        <f>STDEV(G$9:G$58)/SQRT(COUNT(G$9:G$58))</f>
        <v>1.4207820500113869E-3</v>
      </c>
      <c r="H61" s="26">
        <f>STDEV(M$9:M$58)/SQRT(COUNT(M$9:M$58))</f>
        <v>8.9413015617355578E-3</v>
      </c>
      <c r="I61" s="26">
        <f>STDEV(J$9:J$58)/SQRT(COUNT(J$9:J$58))</f>
        <v>4.6729085484585823E-3</v>
      </c>
      <c r="J61" s="26">
        <f>STDEV(P$9:P$58)/SQRT(COUNT(P$9:P$58))</f>
        <v>1.1839850416761694E-2</v>
      </c>
      <c r="K61" s="32"/>
      <c r="L61" s="32"/>
      <c r="AC61" s="23">
        <v>1</v>
      </c>
      <c r="AD61" s="26">
        <f>STDEV(AD$9:AD$58)/SQRT(COUNT(AD$9:AD$58))</f>
        <v>1.1999508047287001E-3</v>
      </c>
      <c r="AE61" s="26">
        <f>STDEV(AJ$9:AJ$58)/SQRT(COUNT(AJ$9:AJ$58))</f>
        <v>8.9470847965264395E-3</v>
      </c>
      <c r="AF61" s="26">
        <f>STDEV(AG$9:AG$58)/SQRT(COUNT(AG$9:AG$58))</f>
        <v>4.388776540923245E-3</v>
      </c>
      <c r="AG61" s="26">
        <f>STDEV(AM$9:AM$58)/SQRT(COUNT(AM$9:AM$58))</f>
        <v>1.034440348904507E-2</v>
      </c>
      <c r="AH61" s="26"/>
      <c r="AI61" s="26"/>
      <c r="AZ61" s="23">
        <v>1</v>
      </c>
      <c r="BA61" s="26">
        <f>STDEV(BA$9:BA$58)/SQRT(COUNT(BA$9:BA$58))</f>
        <v>1.7820688174435006E-3</v>
      </c>
      <c r="BB61" s="26">
        <f>STDEV(BG$9:BG$58)/SQRT(COUNT(BG$9:BG$58))</f>
        <v>1.5109031842040863E-2</v>
      </c>
      <c r="BC61" s="26">
        <f>STDEV(BD$9:BD$58)/SQRT(COUNT(BD$9:BD$58))</f>
        <v>1.1556083207131262E-2</v>
      </c>
      <c r="BD61" s="26">
        <f>STDEV(BJ$9:BJ$58)/SQRT(COUNT(BJ$9:BJ$58))</f>
        <v>1.8958178908974426E-2</v>
      </c>
      <c r="BE61" s="26"/>
      <c r="BF61" s="26"/>
      <c r="BV61" s="23">
        <v>1</v>
      </c>
      <c r="BW61" s="26">
        <f>STDEV(BW$9:BW$58)/SQRT(COUNT(BW$9:BW$58))</f>
        <v>4.4637787210556707E-3</v>
      </c>
      <c r="BX61" s="26">
        <f>STDEV(CC$9:CC$58)/SQRT(COUNT(CC$9:CC$58))</f>
        <v>2.347398657822132E-2</v>
      </c>
      <c r="BY61" s="26">
        <f>STDEV(BZ$9:BZ$58)/SQRT(COUNT(BZ$9:BZ$58))</f>
        <v>1.4991732083176269E-2</v>
      </c>
      <c r="BZ61" s="26">
        <f>STDEV(CF$9:CF$58)/SQRT(COUNT(CF$9:CF$58))</f>
        <v>5.5108379272293027E-2</v>
      </c>
      <c r="CA61" s="26"/>
      <c r="CB61" s="26"/>
      <c r="CS61" s="23">
        <v>1</v>
      </c>
      <c r="CT61" s="26">
        <f>STDEV(CT$9:CT$58)/SQRT(COUNT(CT$9:CT$58))</f>
        <v>3.6279124500429875E-4</v>
      </c>
      <c r="CU61" s="26">
        <f>STDEV(CZ$9:CZ$58)/SQRT(COUNT(CZ$9:CZ$58))</f>
        <v>2.9047717616862375E-3</v>
      </c>
      <c r="CV61" s="26">
        <f>STDEV(CW$9:CW$58)/SQRT(COUNT(CW$9:CW$58))</f>
        <v>1.8190436824595839E-3</v>
      </c>
      <c r="CW61" s="26">
        <f>STDEV(DC$9:DC$58)/SQRT(COUNT(DC$9:DC$58))</f>
        <v>4.6511698077458981E-3</v>
      </c>
      <c r="CX61" s="26"/>
      <c r="CY61" s="26"/>
    </row>
    <row r="62" spans="5:115" ht="15.75" x14ac:dyDescent="0.25">
      <c r="F62" s="23">
        <v>0.75</v>
      </c>
      <c r="G62" s="26">
        <f>STDEV(H$9:H$58)/SQRT(COUNT(H$9:H$58))</f>
        <v>3.9038302896205932E-4</v>
      </c>
      <c r="H62" s="26">
        <f>STDEV(N$9:N$58)/SQRT(COUNT(N$9:N$58))</f>
        <v>4.5566207561236844E-3</v>
      </c>
      <c r="I62" s="26">
        <f>STDEV(K$9:K$58)/SQRT(COUNT(K$9:K$58))</f>
        <v>3.3400609989723976E-3</v>
      </c>
      <c r="J62" s="26">
        <f>STDEV(Q$9:Q$58)/SQRT(COUNT(Q$9:Q$58))</f>
        <v>3.2531919080164345E-3</v>
      </c>
      <c r="K62" s="32"/>
      <c r="L62" s="32"/>
      <c r="AC62" s="23">
        <v>0.75</v>
      </c>
      <c r="AD62" s="26">
        <f>STDEV(AE$9:AE$58)/SQRT(COUNT(AE$9:AE$58))</f>
        <v>4.2509578631286341E-4</v>
      </c>
      <c r="AE62" s="26">
        <f>STDEV(AK$9:AK$58)/SQRT(COUNT(AK$9:AK$58))</f>
        <v>3.3276251152531433E-3</v>
      </c>
      <c r="AF62" s="26">
        <f>STDEV(AH$9:AH$58)/SQRT(COUNT(AH$9:AH$58))</f>
        <v>3.3029803429286387E-3</v>
      </c>
      <c r="AG62" s="26">
        <f>STDEV(AN$9:AN$58)/SQRT(COUNT(AN$9:AN$58))</f>
        <v>3.6646188475237484E-3</v>
      </c>
      <c r="AH62" s="26"/>
      <c r="AI62" s="26"/>
      <c r="AZ62" s="23">
        <v>0.75</v>
      </c>
      <c r="BA62" s="26">
        <f>STDEV(BB$9:BB$58)/SQRT(COUNT(BB$9:BB$58))</f>
        <v>4.8583709881423005E-4</v>
      </c>
      <c r="BB62" s="26">
        <f>STDEV(BH$9:BH$58)/SQRT(COUNT(BH$9:BH$58))</f>
        <v>6.6563990248203666E-3</v>
      </c>
      <c r="BC62" s="26">
        <f>STDEV(BE$9:BE$58)/SQRT(COUNT(BE$9:BE$58))</f>
        <v>8.3714639610634745E-3</v>
      </c>
      <c r="BD62" s="26">
        <f>STDEV(BK$9:BK$58)/SQRT(COUNT(BK$9:BK$58))</f>
        <v>5.2808380305882779E-3</v>
      </c>
      <c r="BE62" s="26"/>
      <c r="BF62" s="26"/>
      <c r="BV62" s="23">
        <v>0.75</v>
      </c>
      <c r="BW62" s="26">
        <f>STDEV(BX$9:BX$58)/SQRT(COUNT(BX$9:BX$58))</f>
        <v>6.6239255153058025E-4</v>
      </c>
      <c r="BX62" s="26">
        <f>STDEV(CD$9:CD$58)/SQRT(COUNT(CD$9:CD$58))</f>
        <v>1.4063513264945454E-2</v>
      </c>
      <c r="BY62" s="26">
        <f>STDEV(CA$9:CA$58)/SQRT(COUNT(CA$9:CA$58))</f>
        <v>1.132070165093456E-2</v>
      </c>
      <c r="BZ62" s="26">
        <f>STDEV(CG$9:CG$58)/SQRT(COUNT(CG$9:CG$58))</f>
        <v>7.885625613459778E-3</v>
      </c>
      <c r="CA62" s="26"/>
      <c r="CB62" s="26"/>
      <c r="CS62" s="23">
        <v>0.75</v>
      </c>
      <c r="CT62" s="26">
        <f>STDEV(CU$9:CU$58)/SQRT(COUNT(CU$9:CU$58))</f>
        <v>1.2070326408346934E-4</v>
      </c>
      <c r="CU62" s="26">
        <f>STDEV(DA$9:DA$58)/SQRT(COUNT(DA$9:DA$58))</f>
        <v>1.525397054806268E-3</v>
      </c>
      <c r="CV62" s="26">
        <f>STDEV(CX$9:CX$58)/SQRT(COUNT(CX$9:CX$58))</f>
        <v>1.8112069787551567E-3</v>
      </c>
      <c r="CW62" s="26">
        <f>STDEV(DD$9:DD$58)/SQRT(COUNT(DD$9:DD$58))</f>
        <v>1.6093768544483546E-3</v>
      </c>
      <c r="CX62" s="26"/>
      <c r="CY62" s="26"/>
    </row>
    <row r="63" spans="5:115" ht="15.75" x14ac:dyDescent="0.25">
      <c r="F63" s="23">
        <v>0.5</v>
      </c>
      <c r="G63" s="26">
        <f>STDEV(I$9:I$58)/SQRT(COUNT(I$9:I$58))</f>
        <v>1.6406137010859072E-3</v>
      </c>
      <c r="H63" s="26">
        <f>STDEV(O$9:O$58)/SQRT(COUNT(O$9:O$58))</f>
        <v>5.3969818666807085E-3</v>
      </c>
      <c r="I63" s="26">
        <f>STDEV(L$9:L$58)/SQRT(COUNT(L$9:L$58))</f>
        <v>8.641215994263084E-3</v>
      </c>
      <c r="J63" s="26">
        <f>STDEV(R$9:R$58)/SQRT(COUNT(R$9:R$58))</f>
        <v>1.2620105392968883E-2</v>
      </c>
      <c r="K63" s="32"/>
      <c r="L63" s="32"/>
      <c r="AC63" s="23">
        <v>0.5</v>
      </c>
      <c r="AD63" s="26">
        <f>STDEV(AF$9:AF$58)/SQRT(COUNT(AF$9:AF$58))</f>
        <v>1.4340371352638392E-3</v>
      </c>
      <c r="AE63" s="26">
        <f>STDEV(AL$9:AL$58)/SQRT(COUNT(AL$9:AL$58))</f>
        <v>9.4355629822482027E-3</v>
      </c>
      <c r="AF63" s="26">
        <f>STDEV(AI$9:AI$58)/SQRT(COUNT(AI$9:AI$58))</f>
        <v>7.5635192624277647E-3</v>
      </c>
      <c r="AG63" s="26">
        <f>STDEV(AO$9:AO$58)/SQRT(COUNT(AO$9:AO$58))</f>
        <v>6.5523983907230417E-3</v>
      </c>
      <c r="AH63" s="26"/>
      <c r="AI63" s="26"/>
      <c r="AZ63" s="23">
        <v>0.5</v>
      </c>
      <c r="BA63" s="26">
        <f>STDEV(BC$9:BC$58)/SQRT(COUNT(BC$9:BC$58))</f>
        <v>2.1249548405423016E-3</v>
      </c>
      <c r="BB63" s="26">
        <f>STDEV(BI$9:BI$58)/SQRT(COUNT(BI$9:BI$58))</f>
        <v>9.0764128151155834E-3</v>
      </c>
      <c r="BC63" s="26">
        <f>STDEV(BF$9:BF$58)/SQRT(COUNT(BF$9:BF$58))</f>
        <v>1.5659225134418236E-2</v>
      </c>
      <c r="BD63" s="26">
        <f>STDEV(BL$9:BL$58)/SQRT(COUNT(BL$9:BL$58))</f>
        <v>2.2367945689918275E-2</v>
      </c>
      <c r="BE63" s="26"/>
      <c r="BF63" s="26"/>
      <c r="BV63" s="23">
        <v>0.5</v>
      </c>
      <c r="BW63" s="26">
        <f>STDEV(BY$9:BY$58)/SQRT(COUNT(BY$9:BY$58))</f>
        <v>4.9848819080781275E-3</v>
      </c>
      <c r="BX63" s="26">
        <f>STDEV(CE$9:CE$58)/SQRT(COUNT(CE$9:CE$58))</f>
        <v>8.1722702088469542E-3</v>
      </c>
      <c r="BY63" s="26">
        <f>STDEV(CB$9:CB$58)/SQRT(COUNT(CB$9:CB$58))</f>
        <v>2.5695029601974645E-2</v>
      </c>
      <c r="BZ63" s="26">
        <f>STDEV(CH$9:CH$58)/SQRT(COUNT(CH$9:CH$58))</f>
        <v>3.6632275942352098E-2</v>
      </c>
      <c r="CA63" s="26"/>
      <c r="CB63" s="26"/>
      <c r="CS63" s="23">
        <v>0.5</v>
      </c>
      <c r="CT63" s="26">
        <f>STDEV(CV$9:CV$58)/SQRT(COUNT(CV$9:CV$58))</f>
        <v>4.5903606046392121E-4</v>
      </c>
      <c r="CU63" s="26">
        <f>STDEV(DB$9:DB$58)/SQRT(COUNT(DB$9:DB$58))</f>
        <v>3.4034219656179396E-3</v>
      </c>
      <c r="CV63" s="26">
        <f>STDEV(CY$9:CY$58)/SQRT(COUNT(CY$9:CY$58))</f>
        <v>3.6538000026214317E-3</v>
      </c>
      <c r="CW63" s="26">
        <f>STDEV(DE$9:DE$58)/SQRT(COUNT(DE$9:DE$58))</f>
        <v>5.9615072787525987E-3</v>
      </c>
      <c r="CX63" s="26"/>
      <c r="CY63" s="26"/>
    </row>
  </sheetData>
  <mergeCells count="40">
    <mergeCell ref="DB4:DH4"/>
    <mergeCell ref="K6:T6"/>
    <mergeCell ref="AI6:AR6"/>
    <mergeCell ref="BF6:BO6"/>
    <mergeCell ref="CE6:CN6"/>
    <mergeCell ref="DA6:DJ6"/>
    <mergeCell ref="V7:X7"/>
    <mergeCell ref="L4:R4"/>
    <mergeCell ref="AM4:AS4"/>
    <mergeCell ref="BI4:BO4"/>
    <mergeCell ref="CF4:CL4"/>
    <mergeCell ref="BP7:BR7"/>
    <mergeCell ref="AD7:AF7"/>
    <mergeCell ref="AG7:AI7"/>
    <mergeCell ref="AJ7:AL7"/>
    <mergeCell ref="AM7:AO7"/>
    <mergeCell ref="AP7:AR7"/>
    <mergeCell ref="AS7:AU7"/>
    <mergeCell ref="BA7:BC7"/>
    <mergeCell ref="BD7:BF7"/>
    <mergeCell ref="BG7:BI7"/>
    <mergeCell ref="BJ7:BL7"/>
    <mergeCell ref="G7:I7"/>
    <mergeCell ref="J7:L7"/>
    <mergeCell ref="M7:O7"/>
    <mergeCell ref="P7:R7"/>
    <mergeCell ref="S7:U7"/>
    <mergeCell ref="BM7:BO7"/>
    <mergeCell ref="DI7:DK7"/>
    <mergeCell ref="BW7:BY7"/>
    <mergeCell ref="BZ7:CB7"/>
    <mergeCell ref="CC7:CE7"/>
    <mergeCell ref="CF7:CH7"/>
    <mergeCell ref="CI7:CK7"/>
    <mergeCell ref="CL7:CN7"/>
    <mergeCell ref="CT7:CV7"/>
    <mergeCell ref="CW7:CY7"/>
    <mergeCell ref="CZ7:DB7"/>
    <mergeCell ref="DC7:DE7"/>
    <mergeCell ref="DF7:DH7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Analise_Medias</vt:lpstr>
      <vt:lpstr>Analise_Variancia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Jonatan</dc:creator>
  <cp:lastModifiedBy>João Jonatan</cp:lastModifiedBy>
  <dcterms:created xsi:type="dcterms:W3CDTF">2026-05-16T00:31:19Z</dcterms:created>
  <dcterms:modified xsi:type="dcterms:W3CDTF">2026-07-13T00:19:28Z</dcterms:modified>
</cp:coreProperties>
</file>